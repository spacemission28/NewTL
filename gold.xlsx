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sta/Desktop/"/>
    </mc:Choice>
  </mc:AlternateContent>
  <xr:revisionPtr revIDLastSave="0" documentId="13_ncr:1_{81E509D9-416C-7146-9034-CE0156249F58}" xr6:coauthVersionLast="47" xr6:coauthVersionMax="47" xr10:uidLastSave="{00000000-0000-0000-0000-000000000000}"/>
  <bookViews>
    <workbookView xWindow="0" yWindow="500" windowWidth="28800" windowHeight="15980" activeTab="2" xr2:uid="{2B5FD532-E2E0-E84C-BEE2-96A7FE0D0706}"/>
  </bookViews>
  <sheets>
    <sheet name="DAX (M30)" sheetId="6" state="hidden" r:id="rId1"/>
    <sheet name="DAX (H1)" sheetId="5" state="hidden" r:id="rId2"/>
    <sheet name="Gold (H1)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9" l="1"/>
  <c r="E92" i="9"/>
  <c r="E91" i="9"/>
  <c r="E89" i="9"/>
  <c r="E70" i="9"/>
  <c r="E58" i="9"/>
  <c r="E12" i="9"/>
  <c r="C10" i="9"/>
  <c r="D10" i="9"/>
  <c r="E29" i="9"/>
  <c r="C12" i="9"/>
  <c r="D12" i="9"/>
  <c r="D11" i="5"/>
  <c r="D12" i="6"/>
  <c r="C11" i="5"/>
  <c r="C12" i="6"/>
  <c r="E9" i="6"/>
  <c r="E8" i="5"/>
  <c r="E11" i="6"/>
  <c r="D10" i="6"/>
  <c r="D9" i="5"/>
  <c r="E12" i="6"/>
  <c r="E11" i="5"/>
  <c r="E10" i="5"/>
  <c r="F102" i="9" l="1"/>
  <c r="F103" i="9"/>
  <c r="F99" i="9"/>
  <c r="F100" i="9"/>
  <c r="F101" i="9"/>
  <c r="F96" i="9"/>
  <c r="F97" i="9"/>
  <c r="F98" i="9"/>
  <c r="F92" i="9"/>
  <c r="F93" i="9"/>
  <c r="F94" i="9"/>
  <c r="F95" i="9"/>
  <c r="F84" i="9"/>
  <c r="F85" i="9"/>
  <c r="F86" i="9"/>
  <c r="F87" i="9"/>
  <c r="F88" i="9"/>
  <c r="F89" i="9"/>
  <c r="F90" i="9"/>
  <c r="F78" i="9"/>
  <c r="F79" i="9"/>
  <c r="F80" i="9"/>
  <c r="F81" i="9"/>
  <c r="F82" i="9"/>
  <c r="F83" i="9"/>
  <c r="F91" i="9"/>
  <c r="F74" i="9"/>
  <c r="F75" i="9"/>
  <c r="F76" i="9"/>
  <c r="F77" i="9"/>
  <c r="F67" i="9"/>
  <c r="F68" i="9"/>
  <c r="F69" i="9"/>
  <c r="F72" i="9"/>
  <c r="F73" i="9"/>
  <c r="F71" i="9"/>
  <c r="F70" i="9"/>
  <c r="E10" i="9"/>
  <c r="F55" i="9"/>
  <c r="F36" i="9"/>
  <c r="F37" i="9"/>
  <c r="F38" i="9"/>
  <c r="F42" i="9"/>
  <c r="F44" i="9"/>
  <c r="F43" i="9"/>
  <c r="F41" i="9"/>
  <c r="F64" i="9"/>
  <c r="F35" i="9"/>
  <c r="F40" i="9"/>
  <c r="F45" i="9"/>
  <c r="F46" i="9"/>
  <c r="F47" i="9"/>
  <c r="F48" i="9"/>
  <c r="F49" i="9"/>
  <c r="F50" i="9"/>
  <c r="F51" i="9"/>
  <c r="F52" i="9"/>
  <c r="F53" i="9"/>
  <c r="F54" i="9"/>
  <c r="F56" i="9"/>
  <c r="F57" i="9"/>
  <c r="F58" i="9"/>
  <c r="F59" i="9"/>
  <c r="F60" i="9"/>
  <c r="F61" i="9"/>
  <c r="F62" i="9"/>
  <c r="F63" i="9"/>
  <c r="F65" i="9"/>
  <c r="F66" i="9"/>
  <c r="F34" i="9"/>
  <c r="F39" i="9"/>
  <c r="F22" i="9"/>
  <c r="F19" i="9"/>
  <c r="F30" i="9"/>
  <c r="F21" i="9"/>
  <c r="F23" i="9"/>
  <c r="F24" i="9"/>
  <c r="F25" i="9"/>
  <c r="F26" i="9"/>
  <c r="F27" i="9"/>
  <c r="F28" i="9"/>
  <c r="F29" i="9"/>
  <c r="F31" i="9"/>
  <c r="F32" i="9"/>
  <c r="F33" i="9"/>
  <c r="F16" i="9"/>
  <c r="F15" i="9"/>
  <c r="F14" i="9"/>
  <c r="F17" i="9"/>
  <c r="F18" i="9"/>
  <c r="F20" i="9"/>
  <c r="F12" i="6"/>
  <c r="M13" i="6" s="1"/>
  <c r="F11" i="5"/>
  <c r="M12" i="5" s="1"/>
  <c r="J14" i="5" s="1"/>
  <c r="I13" i="9" l="1"/>
  <c r="E8" i="9"/>
  <c r="E9" i="9"/>
  <c r="G15" i="9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J14" i="6"/>
  <c r="G13" i="6"/>
  <c r="G12" i="6"/>
  <c r="G11" i="5"/>
  <c r="G12" i="5"/>
  <c r="I33" i="9" l="1"/>
  <c r="B3" i="9" s="1"/>
  <c r="H33" i="9"/>
  <c r="G34" i="9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K14" i="6"/>
  <c r="J13" i="5"/>
  <c r="K13" i="5"/>
  <c r="B6" i="9" l="1"/>
  <c r="B4" i="9"/>
  <c r="G55" i="9"/>
  <c r="J15" i="6"/>
  <c r="L14" i="6"/>
  <c r="M14" i="6" s="1"/>
  <c r="L13" i="5"/>
  <c r="M13" i="5" s="1"/>
  <c r="G56" i="9" l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I55" i="9"/>
  <c r="C3" i="9" s="1"/>
  <c r="H55" i="9"/>
  <c r="I77" i="9" l="1"/>
  <c r="D3" i="9" s="1"/>
  <c r="G78" i="9"/>
  <c r="G79" i="9" s="1"/>
  <c r="G80" i="9" s="1"/>
  <c r="G81" i="9" s="1"/>
  <c r="G82" i="9" s="1"/>
  <c r="G83" i="9" s="1"/>
  <c r="G84" i="9" s="1"/>
  <c r="G85" i="9" s="1"/>
  <c r="G86" i="9" s="1"/>
  <c r="G87" i="9" s="1"/>
  <c r="G88" i="9" s="1"/>
  <c r="G89" i="9" s="1"/>
  <c r="G90" i="9" s="1"/>
  <c r="G91" i="9" s="1"/>
  <c r="G92" i="9" s="1"/>
  <c r="G93" i="9" s="1"/>
  <c r="G94" i="9" s="1"/>
  <c r="G95" i="9" s="1"/>
  <c r="G96" i="9" s="1"/>
  <c r="G97" i="9" s="1"/>
  <c r="G98" i="9" s="1"/>
  <c r="C4" i="9"/>
  <c r="C6" i="9"/>
  <c r="H77" i="9"/>
  <c r="D4" i="9" l="1"/>
  <c r="E4" i="9" s="1"/>
  <c r="F4" i="9" s="1"/>
  <c r="D6" i="9"/>
  <c r="G99" i="9"/>
  <c r="G100" i="9" s="1"/>
  <c r="G101" i="9" s="1"/>
  <c r="G102" i="9" s="1"/>
  <c r="G103" i="9" s="1"/>
  <c r="I103" i="9" s="1"/>
  <c r="H98" i="9"/>
  <c r="I98" i="9"/>
  <c r="E3" i="9" s="1"/>
  <c r="E6" i="9" s="1"/>
</calcChain>
</file>

<file path=xl/sharedStrings.xml><?xml version="1.0" encoding="utf-8"?>
<sst xmlns="http://schemas.openxmlformats.org/spreadsheetml/2006/main" count="54" uniqueCount="28">
  <si>
    <t>M30</t>
  </si>
  <si>
    <t>Rec Loss</t>
  </si>
  <si>
    <t>Win</t>
  </si>
  <si>
    <t>Rec Win</t>
  </si>
  <si>
    <t>p/month</t>
  </si>
  <si>
    <t>H1</t>
  </si>
  <si>
    <t>Feb</t>
  </si>
  <si>
    <t>Mar</t>
  </si>
  <si>
    <t>SL% = 18</t>
  </si>
  <si>
    <t>Apr</t>
  </si>
  <si>
    <t>May</t>
  </si>
  <si>
    <t>RPT</t>
  </si>
  <si>
    <t>SETUP B</t>
  </si>
  <si>
    <t>SETUP B= 'merely' HL or LH for X1</t>
  </si>
  <si>
    <t>Full Recovery of loss</t>
  </si>
  <si>
    <t>Min 19% Wick gap (Low/High to Close)</t>
  </si>
  <si>
    <t>avg net wins p/month</t>
  </si>
  <si>
    <t>2/2 - 29/5</t>
  </si>
  <si>
    <t>no NEW trade 21:00 onward (but existing close out by 22:15 is ok)</t>
  </si>
  <si>
    <t>RR 1:2.4</t>
  </si>
  <si>
    <t>Min X1 height = 30 pts</t>
  </si>
  <si>
    <t>No entries before 9am</t>
  </si>
  <si>
    <t>no NEW trade 22:00 onward (but existing close out by 22:45 is ok)</t>
  </si>
  <si>
    <t>Jun</t>
  </si>
  <si>
    <t>Win / Rec Win</t>
  </si>
  <si>
    <t>Win / Rec Loss</t>
  </si>
  <si>
    <t>Profit Mltps (to 5 - June)</t>
  </si>
  <si>
    <t>max dailyDD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</si>
</sst>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%"/>
    <numFmt numFmtId="166" formatCode="[$-409]d\-mmm;@"/>
    <numFmt numFmtId="167" formatCode="0.000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Roboto"/>
    </font>
    <font>
      <i/>
      <sz val="12"/>
      <color theme="1"/>
      <name val="Roboto"/>
    </font>
    <font>
      <sz val="12"/>
      <color theme="0"/>
      <name val="Roboto"/>
    </font>
    <font>
      <b/>
      <sz val="12"/>
      <color theme="1"/>
      <name val="Roboto"/>
    </font>
    <font>
      <sz val="12"/>
      <color theme="0" tint="-0.249977111117893"/>
      <name val="Roboto"/>
    </font>
    <font>
      <b/>
      <sz val="12"/>
      <color theme="0"/>
      <name val="Roboto"/>
    </font>
    <font>
      <sz val="12"/>
      <color rgb="FFFF0000"/>
      <name val="Roboto"/>
    </font>
    <font>
      <i/>
      <sz val="12"/>
      <color theme="0" tint="-0.499984740745262"/>
      <name val="Roboto"/>
    </font>
    <font>
      <i/>
      <sz val="12"/>
      <color theme="0" tint="-0.34998626667073579"/>
      <name val="Roboto"/>
    </font>
    <font>
      <b/>
      <i/>
      <sz val="12"/>
      <color theme="1"/>
      <name val="Roboto"/>
    </font>
    <font>
      <sz val="12"/>
      <color rgb="FF000000"/>
      <name val="Roboto"/>
    </font>
    <font>
      <b/>
      <i/>
      <sz val="12"/>
      <color theme="5" tint="0.39997558519241921"/>
      <name val="Roboto"/>
    </font>
    <font>
      <i/>
      <sz val="12"/>
      <color rgb="FFFF0000"/>
      <name val="Roboto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20" fontId="2" fillId="0" borderId="0" xfId="0" applyNumberFormat="1" applyFont="1"/>
    <xf numFmtId="9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/>
    <xf numFmtId="164" fontId="2" fillId="4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64" fontId="2" fillId="6" borderId="0" xfId="0" applyNumberFormat="1" applyFont="1" applyFill="1" applyAlignment="1">
      <alignment horizontal="center"/>
    </xf>
    <xf numFmtId="20" fontId="7" fillId="7" borderId="0" xfId="0" applyNumberFormat="1" applyFont="1" applyFill="1"/>
    <xf numFmtId="0" fontId="8" fillId="0" borderId="0" xfId="0" applyFont="1"/>
    <xf numFmtId="164" fontId="9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right"/>
    </xf>
    <xf numFmtId="10" fontId="3" fillId="5" borderId="0" xfId="1" applyNumberFormat="1" applyFont="1" applyFill="1" applyAlignment="1">
      <alignment horizontal="center"/>
    </xf>
    <xf numFmtId="164" fontId="2" fillId="8" borderId="0" xfId="0" applyNumberFormat="1" applyFont="1" applyFill="1" applyAlignment="1">
      <alignment horizontal="center"/>
    </xf>
    <xf numFmtId="10" fontId="2" fillId="5" borderId="0" xfId="1" applyNumberFormat="1" applyFont="1" applyFill="1" applyAlignment="1">
      <alignment horizontal="center"/>
    </xf>
    <xf numFmtId="165" fontId="2" fillId="5" borderId="0" xfId="1" applyNumberFormat="1" applyFont="1" applyFill="1" applyAlignment="1">
      <alignment horizontal="center"/>
    </xf>
    <xf numFmtId="10" fontId="10" fillId="0" borderId="0" xfId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" fontId="2" fillId="0" borderId="0" xfId="0" applyNumberFormat="1" applyFont="1"/>
    <xf numFmtId="166" fontId="2" fillId="0" borderId="0" xfId="0" applyNumberFormat="1" applyFont="1"/>
    <xf numFmtId="9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0" fontId="2" fillId="5" borderId="0" xfId="1" applyNumberFormat="1" applyFont="1" applyFill="1"/>
    <xf numFmtId="0" fontId="12" fillId="0" borderId="0" xfId="0" applyFont="1"/>
    <xf numFmtId="2" fontId="2" fillId="0" borderId="0" xfId="0" applyNumberFormat="1" applyFont="1"/>
    <xf numFmtId="164" fontId="2" fillId="0" borderId="0" xfId="0" applyNumberFormat="1" applyFont="1"/>
    <xf numFmtId="16" fontId="2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/>
    <xf numFmtId="0" fontId="2" fillId="4" borderId="0" xfId="0" applyFont="1" applyFill="1"/>
    <xf numFmtId="164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right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929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2</xdr:row>
      <xdr:rowOff>0</xdr:rowOff>
    </xdr:from>
    <xdr:to>
      <xdr:col>24</xdr:col>
      <xdr:colOff>571500</xdr:colOff>
      <xdr:row>20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42DB30-D3ED-176F-1126-8EDA52482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4125" y="412750"/>
          <a:ext cx="6350000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F426-4C85-0243-BE24-AC35DC0D2B13}">
  <dimension ref="A1:M15"/>
  <sheetViews>
    <sheetView showGridLines="0" zoomScale="176" zoomScaleNormal="176" workbookViewId="0">
      <selection activeCell="D12" sqref="D12"/>
    </sheetView>
  </sheetViews>
  <sheetFormatPr baseColWidth="10" defaultRowHeight="16" x14ac:dyDescent="0.2"/>
  <cols>
    <col min="1" max="9" width="10.83203125" style="1"/>
    <col min="10" max="13" width="7.5" style="1" customWidth="1"/>
    <col min="14" max="16384" width="10.83203125" style="1"/>
  </cols>
  <sheetData>
    <row r="1" spans="1:13" x14ac:dyDescent="0.2">
      <c r="A1" s="1" t="s">
        <v>13</v>
      </c>
      <c r="F1" s="8" t="s">
        <v>11</v>
      </c>
      <c r="G1" s="23">
        <v>2.9999999999999997E-4</v>
      </c>
    </row>
    <row r="2" spans="1:13" x14ac:dyDescent="0.2">
      <c r="A2" s="18" t="s">
        <v>21</v>
      </c>
      <c r="F2" s="8"/>
      <c r="G2" s="8"/>
    </row>
    <row r="3" spans="1:13" x14ac:dyDescent="0.2">
      <c r="A3" s="1" t="s">
        <v>14</v>
      </c>
    </row>
    <row r="4" spans="1:13" x14ac:dyDescent="0.2">
      <c r="A4" s="1" t="s">
        <v>20</v>
      </c>
      <c r="F4" s="9"/>
      <c r="G4" s="8"/>
    </row>
    <row r="5" spans="1:13" x14ac:dyDescent="0.2">
      <c r="A5" s="1" t="s">
        <v>15</v>
      </c>
      <c r="F5" s="9"/>
      <c r="G5" s="8"/>
    </row>
    <row r="6" spans="1:13" x14ac:dyDescent="0.2">
      <c r="A6" s="1" t="s">
        <v>8</v>
      </c>
      <c r="F6" s="9"/>
      <c r="G6" s="8"/>
    </row>
    <row r="7" spans="1:13" x14ac:dyDescent="0.2">
      <c r="A7" s="1" t="s">
        <v>22</v>
      </c>
      <c r="F7" s="9"/>
      <c r="G7" s="8"/>
    </row>
    <row r="8" spans="1:13" x14ac:dyDescent="0.2">
      <c r="F8" s="9"/>
      <c r="G8" s="8"/>
    </row>
    <row r="9" spans="1:13" x14ac:dyDescent="0.2">
      <c r="E9" s="5">
        <f>D14*2-C14</f>
        <v>222</v>
      </c>
      <c r="I9" s="8"/>
      <c r="J9" s="5"/>
      <c r="K9" s="5"/>
      <c r="L9" s="5"/>
      <c r="M9" s="5"/>
    </row>
    <row r="10" spans="1:13" x14ac:dyDescent="0.2">
      <c r="A10" s="13" t="s">
        <v>12</v>
      </c>
      <c r="B10" s="17" t="s">
        <v>19</v>
      </c>
      <c r="D10" s="4">
        <f>D14/E14</f>
        <v>1.7272727272727273</v>
      </c>
      <c r="F10" s="2"/>
      <c r="G10" s="8"/>
      <c r="J10" s="12"/>
      <c r="K10" s="15"/>
      <c r="L10" s="15"/>
      <c r="M10" s="15"/>
    </row>
    <row r="11" spans="1:13" x14ac:dyDescent="0.2">
      <c r="B11" s="3"/>
      <c r="E11" s="4">
        <f>E14/(E14+C14)</f>
        <v>0.63636363636363635</v>
      </c>
      <c r="J11" s="5"/>
      <c r="K11" s="5"/>
      <c r="L11" s="5"/>
      <c r="M11" s="5"/>
    </row>
    <row r="12" spans="1:13" x14ac:dyDescent="0.2">
      <c r="A12" s="1" t="s">
        <v>17</v>
      </c>
      <c r="C12" s="12" t="e">
        <f>IF(#REF!&lt;&gt;"X",C14*-4.1,C14*-2.2)</f>
        <v>#REF!</v>
      </c>
      <c r="D12" s="12" t="e">
        <f>IF(#REF!&lt;&gt;"X",D14,0)</f>
        <v>#REF!</v>
      </c>
      <c r="E12" s="12">
        <f>E14*1.85</f>
        <v>142.45000000000002</v>
      </c>
      <c r="F12" s="10" t="e">
        <f>SUM(C12:E12)</f>
        <v>#REF!</v>
      </c>
      <c r="G12" s="21" t="e">
        <f>(F12*$G$1)/4</f>
        <v>#REF!</v>
      </c>
      <c r="H12" s="1" t="s">
        <v>4</v>
      </c>
      <c r="J12" s="5" t="s">
        <v>6</v>
      </c>
      <c r="K12" s="5" t="s">
        <v>7</v>
      </c>
      <c r="L12" s="5" t="s">
        <v>9</v>
      </c>
      <c r="M12" s="5" t="s">
        <v>10</v>
      </c>
    </row>
    <row r="13" spans="1:13" x14ac:dyDescent="0.2">
      <c r="B13" s="6" t="s">
        <v>0</v>
      </c>
      <c r="C13" s="5" t="s">
        <v>1</v>
      </c>
      <c r="D13" s="5" t="s">
        <v>3</v>
      </c>
      <c r="E13" s="5" t="s">
        <v>2</v>
      </c>
      <c r="G13" s="9" t="e">
        <f>F12/4</f>
        <v>#REF!</v>
      </c>
      <c r="H13" s="1" t="s">
        <v>16</v>
      </c>
      <c r="J13" s="11">
        <v>26.5</v>
      </c>
      <c r="K13" s="14">
        <v>42.4</v>
      </c>
      <c r="L13" s="22">
        <v>-3.6</v>
      </c>
      <c r="M13" s="14" t="e">
        <f>F12-SUM(J13:L13)</f>
        <v>#REF!</v>
      </c>
    </row>
    <row r="14" spans="1:13" x14ac:dyDescent="0.2">
      <c r="B14" s="5"/>
      <c r="C14" s="7">
        <v>44</v>
      </c>
      <c r="D14" s="7">
        <v>133</v>
      </c>
      <c r="E14" s="7">
        <v>77</v>
      </c>
      <c r="G14" s="5"/>
      <c r="I14" s="20">
        <v>1</v>
      </c>
      <c r="J14" s="15" t="e">
        <f>F12</f>
        <v>#REF!</v>
      </c>
      <c r="K14" s="15" t="e">
        <f>K13+J14</f>
        <v>#REF!</v>
      </c>
      <c r="L14" s="15" t="e">
        <f t="shared" ref="L14:M14" si="0">L13+K14</f>
        <v>#REF!</v>
      </c>
      <c r="M14" s="15" t="e">
        <f t="shared" si="0"/>
        <v>#REF!</v>
      </c>
    </row>
    <row r="15" spans="1:13" x14ac:dyDescent="0.2">
      <c r="J15" s="19" t="e">
        <f>AVERAGE(J13:M13)</f>
        <v>#REF!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E49A-E2E5-AF42-9804-CD2ED4D7B4E2}">
  <dimension ref="A1:M14"/>
  <sheetViews>
    <sheetView showGridLines="0" zoomScale="176" zoomScaleNormal="176" workbookViewId="0">
      <selection activeCell="E13" sqref="E13"/>
    </sheetView>
  </sheetViews>
  <sheetFormatPr baseColWidth="10" defaultRowHeight="16" x14ac:dyDescent="0.2"/>
  <cols>
    <col min="1" max="9" width="10.83203125" style="1"/>
    <col min="10" max="13" width="7.5" style="1" customWidth="1"/>
    <col min="14" max="16384" width="10.83203125" style="1"/>
  </cols>
  <sheetData>
    <row r="1" spans="1:13" x14ac:dyDescent="0.2">
      <c r="A1" s="1" t="s">
        <v>13</v>
      </c>
      <c r="F1" s="8" t="s">
        <v>11</v>
      </c>
      <c r="G1" s="23">
        <v>2.9999999999999997E-4</v>
      </c>
    </row>
    <row r="2" spans="1:13" x14ac:dyDescent="0.2">
      <c r="A2" s="1" t="s">
        <v>14</v>
      </c>
      <c r="F2" s="8"/>
      <c r="G2" s="8"/>
    </row>
    <row r="3" spans="1:13" x14ac:dyDescent="0.2">
      <c r="A3" s="1" t="s">
        <v>20</v>
      </c>
      <c r="F3" s="9"/>
      <c r="G3" s="8"/>
    </row>
    <row r="4" spans="1:13" x14ac:dyDescent="0.2">
      <c r="A4" s="1" t="s">
        <v>15</v>
      </c>
      <c r="F4" s="9"/>
      <c r="G4" s="8"/>
    </row>
    <row r="5" spans="1:13" x14ac:dyDescent="0.2">
      <c r="A5" s="1" t="s">
        <v>8</v>
      </c>
      <c r="F5" s="9"/>
      <c r="G5" s="8"/>
    </row>
    <row r="6" spans="1:13" x14ac:dyDescent="0.2">
      <c r="A6" s="1" t="s">
        <v>18</v>
      </c>
      <c r="F6" s="9"/>
      <c r="G6" s="8"/>
    </row>
    <row r="7" spans="1:13" x14ac:dyDescent="0.2">
      <c r="F7" s="9"/>
      <c r="G7" s="8"/>
    </row>
    <row r="8" spans="1:13" x14ac:dyDescent="0.2">
      <c r="E8" s="5">
        <f>D13*2-C13</f>
        <v>124</v>
      </c>
      <c r="I8" s="8"/>
      <c r="J8" s="5"/>
      <c r="K8" s="5"/>
      <c r="L8" s="5"/>
      <c r="M8" s="5"/>
    </row>
    <row r="9" spans="1:13" x14ac:dyDescent="0.2">
      <c r="A9" s="13" t="s">
        <v>12</v>
      </c>
      <c r="B9" s="17" t="s">
        <v>19</v>
      </c>
      <c r="D9" s="4">
        <f>D13/E13</f>
        <v>1.6595744680851063</v>
      </c>
      <c r="F9" s="2"/>
      <c r="G9" s="8"/>
      <c r="J9" s="12"/>
      <c r="K9" s="15"/>
      <c r="L9" s="15"/>
      <c r="M9" s="15"/>
    </row>
    <row r="10" spans="1:13" x14ac:dyDescent="0.2">
      <c r="B10" s="3"/>
      <c r="E10" s="4">
        <f>E13/(E13+C13)</f>
        <v>0.59493670886075944</v>
      </c>
      <c r="J10" s="5"/>
      <c r="K10" s="5"/>
      <c r="L10" s="5"/>
      <c r="M10" s="5"/>
    </row>
    <row r="11" spans="1:13" x14ac:dyDescent="0.2">
      <c r="A11" s="1" t="s">
        <v>17</v>
      </c>
      <c r="C11" s="12" t="e">
        <f>IF(#REF!&lt;&gt;"X",C13*-4.1,C13*-2.2)</f>
        <v>#REF!</v>
      </c>
      <c r="D11" s="12" t="e">
        <f>IF(#REF!&lt;&gt;"X",D13,0)</f>
        <v>#REF!</v>
      </c>
      <c r="E11" s="12">
        <f>E13*1.85</f>
        <v>86.95</v>
      </c>
      <c r="F11" s="10" t="e">
        <f>SUM(C11:E11)</f>
        <v>#REF!</v>
      </c>
      <c r="G11" s="21" t="e">
        <f>(F11*$G$1)/4</f>
        <v>#REF!</v>
      </c>
      <c r="H11" s="1" t="s">
        <v>4</v>
      </c>
      <c r="J11" s="5" t="s">
        <v>6</v>
      </c>
      <c r="K11" s="5" t="s">
        <v>7</v>
      </c>
      <c r="L11" s="5" t="s">
        <v>9</v>
      </c>
      <c r="M11" s="5" t="s">
        <v>10</v>
      </c>
    </row>
    <row r="12" spans="1:13" x14ac:dyDescent="0.2">
      <c r="B12" s="6" t="s">
        <v>5</v>
      </c>
      <c r="C12" s="5" t="s">
        <v>1</v>
      </c>
      <c r="D12" s="5" t="s">
        <v>3</v>
      </c>
      <c r="E12" s="5" t="s">
        <v>2</v>
      </c>
      <c r="G12" s="9" t="e">
        <f>F11/4</f>
        <v>#REF!</v>
      </c>
      <c r="H12" s="1" t="s">
        <v>16</v>
      </c>
      <c r="J12" s="11">
        <v>16.5</v>
      </c>
      <c r="K12" s="16">
        <v>-0.3</v>
      </c>
      <c r="L12" s="14">
        <v>8.9</v>
      </c>
      <c r="M12" s="14" t="e">
        <f>F11-SUM(J12:L12)</f>
        <v>#REF!</v>
      </c>
    </row>
    <row r="13" spans="1:13" x14ac:dyDescent="0.2">
      <c r="B13" s="5"/>
      <c r="C13" s="7">
        <v>32</v>
      </c>
      <c r="D13" s="7">
        <v>78</v>
      </c>
      <c r="E13" s="7">
        <v>47</v>
      </c>
      <c r="G13" s="5"/>
      <c r="I13" s="1">
        <v>1</v>
      </c>
      <c r="J13" s="12">
        <f>J12</f>
        <v>16.5</v>
      </c>
      <c r="K13" s="15">
        <f>K12+J12</f>
        <v>16.2</v>
      </c>
      <c r="L13" s="15">
        <f>L12+K13</f>
        <v>25.1</v>
      </c>
      <c r="M13" s="15" t="e">
        <f>M12+L13</f>
        <v>#REF!</v>
      </c>
    </row>
    <row r="14" spans="1:13" x14ac:dyDescent="0.2">
      <c r="J14" s="19" t="e">
        <f>AVERAGE(J12:M12)</f>
        <v>#REF!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0A4E-6CAA-474C-A49D-10777B1F3C84}">
  <dimension ref="A1:P103"/>
  <sheetViews>
    <sheetView showGridLines="0" tabSelected="1" zoomScale="160" zoomScaleNormal="160" workbookViewId="0">
      <selection activeCell="C7" sqref="C7"/>
    </sheetView>
  </sheetViews>
  <sheetFormatPr baseColWidth="10" defaultRowHeight="16" x14ac:dyDescent="0.2"/>
  <cols>
    <col min="1" max="9" width="10.83203125" style="1"/>
    <col min="10" max="14" width="7.33203125" style="1" customWidth="1"/>
    <col min="15" max="16384" width="10.83203125" style="1"/>
  </cols>
  <sheetData>
    <row r="1" spans="1:16" x14ac:dyDescent="0.2">
      <c r="F1" s="8" t="s">
        <v>11</v>
      </c>
      <c r="G1" s="24">
        <v>1E-3</v>
      </c>
      <c r="P1" s="1" t="s">
        <v>26</v>
      </c>
    </row>
    <row r="2" spans="1:16" x14ac:dyDescent="0.2">
      <c r="B2" s="5" t="s">
        <v>6</v>
      </c>
      <c r="C2" s="5" t="s">
        <v>7</v>
      </c>
      <c r="D2" s="5" t="s">
        <v>9</v>
      </c>
      <c r="E2" s="5" t="s">
        <v>10</v>
      </c>
      <c r="F2" s="5" t="s">
        <v>23</v>
      </c>
      <c r="G2" s="8"/>
      <c r="P2" s="33">
        <v>1.63</v>
      </c>
    </row>
    <row r="3" spans="1:16" x14ac:dyDescent="0.2">
      <c r="B3" s="11">
        <f>I33</f>
        <v>47.64</v>
      </c>
      <c r="C3" s="11">
        <f>I55</f>
        <v>15.950399999999995</v>
      </c>
      <c r="D3" s="11">
        <f>I77</f>
        <v>33.055999999999962</v>
      </c>
      <c r="E3" s="11">
        <f>I98</f>
        <v>33.179999999999964</v>
      </c>
      <c r="F3" s="5">
        <v>2.4</v>
      </c>
      <c r="G3" s="8"/>
      <c r="P3" s="33">
        <v>1.66</v>
      </c>
    </row>
    <row r="4" spans="1:16" x14ac:dyDescent="0.2">
      <c r="B4" s="12">
        <f>B3</f>
        <v>47.64</v>
      </c>
      <c r="C4" s="15">
        <f>C3+B3</f>
        <v>63.590399999999995</v>
      </c>
      <c r="D4" s="15">
        <f>D3+C4</f>
        <v>96.646399999999957</v>
      </c>
      <c r="E4" s="15">
        <f>E3+D4</f>
        <v>129.82639999999992</v>
      </c>
      <c r="F4" s="15">
        <f>F3+E4</f>
        <v>132.22639999999993</v>
      </c>
      <c r="G4" s="8"/>
      <c r="P4" s="33">
        <v>1.66</v>
      </c>
    </row>
    <row r="5" spans="1:16" x14ac:dyDescent="0.2">
      <c r="G5" s="42"/>
      <c r="H5" s="40"/>
      <c r="I5" s="40"/>
      <c r="P5" s="33">
        <v>1.8</v>
      </c>
    </row>
    <row r="6" spans="1:16" x14ac:dyDescent="0.2">
      <c r="B6" s="25">
        <f>$G$1*B3</f>
        <v>4.7640000000000002E-2</v>
      </c>
      <c r="C6" s="25">
        <f t="shared" ref="C6:F6" si="0">$G$1*C3</f>
        <v>1.5950399999999997E-2</v>
      </c>
      <c r="D6" s="25">
        <f t="shared" si="0"/>
        <v>3.305599999999996E-2</v>
      </c>
      <c r="E6" s="25">
        <f t="shared" si="0"/>
        <v>3.3179999999999966E-2</v>
      </c>
      <c r="F6" s="25">
        <f t="shared" si="0"/>
        <v>2.3999999999999998E-3</v>
      </c>
      <c r="G6" s="42"/>
      <c r="H6" s="40"/>
      <c r="I6" s="40"/>
      <c r="P6" s="33">
        <v>1.83</v>
      </c>
    </row>
    <row r="7" spans="1:16" x14ac:dyDescent="0.2">
      <c r="B7" s="40"/>
      <c r="C7" s="40"/>
      <c r="D7" s="40"/>
      <c r="E7" s="40"/>
      <c r="F7" s="41"/>
      <c r="G7" s="42"/>
      <c r="H7" s="40"/>
      <c r="I7" s="40"/>
      <c r="P7" s="33">
        <v>2.0099999999999998</v>
      </c>
    </row>
    <row r="8" spans="1:16" x14ac:dyDescent="0.2">
      <c r="E8" s="4">
        <f>E10/(E10+C10)</f>
        <v>0.47882489526020899</v>
      </c>
      <c r="F8" s="1" t="s">
        <v>25</v>
      </c>
      <c r="P8" s="33">
        <v>2.129</v>
      </c>
    </row>
    <row r="9" spans="1:16" x14ac:dyDescent="0.2">
      <c r="A9" s="13"/>
      <c r="E9" s="4">
        <f>E10/(E10+D10)</f>
        <v>0.26400863568502014</v>
      </c>
      <c r="F9" s="1" t="s">
        <v>24</v>
      </c>
      <c r="M9" s="25"/>
      <c r="N9" s="25"/>
      <c r="P9" s="33">
        <v>2.38</v>
      </c>
    </row>
    <row r="10" spans="1:16" x14ac:dyDescent="0.2">
      <c r="C10" s="37">
        <f>SUM(C14:C300)</f>
        <v>49</v>
      </c>
      <c r="D10" s="37">
        <f>SUM(D14:D300)</f>
        <v>125.5</v>
      </c>
      <c r="E10" s="37">
        <f>SUM(E14:E300)</f>
        <v>45.018305084745762</v>
      </c>
      <c r="M10" s="5"/>
      <c r="P10" s="33">
        <v>2.6</v>
      </c>
    </row>
    <row r="11" spans="1:16" x14ac:dyDescent="0.2">
      <c r="E11" s="30">
        <v>5.9</v>
      </c>
      <c r="P11" s="33">
        <v>2.7789999999999999</v>
      </c>
    </row>
    <row r="12" spans="1:16" x14ac:dyDescent="0.2">
      <c r="C12" s="27">
        <f>-4.2</f>
        <v>-4.2</v>
      </c>
      <c r="D12" s="27">
        <f>1</f>
        <v>1</v>
      </c>
      <c r="E12" s="27">
        <f>E11*0.8</f>
        <v>4.7200000000000006</v>
      </c>
      <c r="M12" s="14"/>
      <c r="N12" s="14"/>
      <c r="P12" s="33">
        <v>2.79</v>
      </c>
    </row>
    <row r="13" spans="1:16" x14ac:dyDescent="0.2">
      <c r="C13" s="5" t="s">
        <v>1</v>
      </c>
      <c r="D13" s="5" t="s">
        <v>3</v>
      </c>
      <c r="E13" s="5" t="s">
        <v>2</v>
      </c>
      <c r="I13" s="38">
        <f>MIN(F14:F300)</f>
        <v>-8.4</v>
      </c>
      <c r="J13" s="39" t="s">
        <v>27</v>
      </c>
      <c r="M13" s="15"/>
      <c r="N13" s="15"/>
      <c r="P13" s="33">
        <v>2.8580000000000001</v>
      </c>
    </row>
    <row r="14" spans="1:16" x14ac:dyDescent="0.2">
      <c r="B14" s="29">
        <v>46055</v>
      </c>
      <c r="C14" s="7"/>
      <c r="D14" s="5">
        <v>1</v>
      </c>
      <c r="E14" s="5">
        <v>1</v>
      </c>
      <c r="F14" s="5">
        <f>(C14*$C$12)+(D14*$D$12)+(E14*$E$12)</f>
        <v>5.7200000000000006</v>
      </c>
      <c r="P14" s="33">
        <v>2.92</v>
      </c>
    </row>
    <row r="15" spans="1:16" x14ac:dyDescent="0.2">
      <c r="B15" s="29">
        <v>46056</v>
      </c>
      <c r="C15" s="5">
        <v>1</v>
      </c>
      <c r="D15" s="5">
        <v>2</v>
      </c>
      <c r="E15" s="5"/>
      <c r="F15" s="5">
        <f>(C15*$C$12)+(D15*$D$12)+(E15*$E$12)</f>
        <v>-2.2000000000000002</v>
      </c>
      <c r="G15" s="11">
        <f>F14+F15</f>
        <v>3.5200000000000005</v>
      </c>
      <c r="P15" s="33">
        <v>3.21</v>
      </c>
    </row>
    <row r="16" spans="1:16" x14ac:dyDescent="0.2">
      <c r="B16" s="29">
        <v>46057</v>
      </c>
      <c r="C16" s="5"/>
      <c r="D16" s="5">
        <v>2</v>
      </c>
      <c r="E16" s="5"/>
      <c r="F16" s="26">
        <f>(C16*$C$12)+(D16*$D$12)+(E16*$E$12)</f>
        <v>2</v>
      </c>
      <c r="G16" s="11">
        <f>G15+F16</f>
        <v>5.5200000000000005</v>
      </c>
      <c r="P16" s="33">
        <v>3.28</v>
      </c>
    </row>
    <row r="17" spans="2:16" x14ac:dyDescent="0.2">
      <c r="B17" s="29">
        <v>46058</v>
      </c>
      <c r="C17" s="5">
        <v>1</v>
      </c>
      <c r="D17" s="5">
        <v>2</v>
      </c>
      <c r="E17" s="5"/>
      <c r="F17" s="26">
        <f>(C17*$C$12)+(D17*$D$12)+(E17*$E$12)</f>
        <v>-2.2000000000000002</v>
      </c>
      <c r="G17" s="11">
        <f t="shared" ref="G17:G33" si="1">G16+F17</f>
        <v>3.3200000000000003</v>
      </c>
      <c r="P17" s="33">
        <v>3.39</v>
      </c>
    </row>
    <row r="18" spans="2:16" x14ac:dyDescent="0.2">
      <c r="B18" s="29">
        <v>46059</v>
      </c>
      <c r="C18" s="5">
        <v>1</v>
      </c>
      <c r="D18" s="5"/>
      <c r="E18" s="5">
        <v>2</v>
      </c>
      <c r="F18" s="26">
        <f>(C18*$C$12)+(D18*$D$12)+(E18*$E$12)</f>
        <v>5.2400000000000011</v>
      </c>
      <c r="G18" s="11">
        <f t="shared" si="1"/>
        <v>8.5600000000000023</v>
      </c>
      <c r="P18" s="33">
        <v>3.45</v>
      </c>
    </row>
    <row r="19" spans="2:16" x14ac:dyDescent="0.2">
      <c r="B19" s="29">
        <v>46062</v>
      </c>
      <c r="C19" s="5">
        <v>1</v>
      </c>
      <c r="D19" s="5">
        <v>2</v>
      </c>
      <c r="E19" s="5">
        <v>1</v>
      </c>
      <c r="F19" s="26">
        <f>(C19*$C$12)+(D19*$D$12)+(E19*$E$12)</f>
        <v>2.5200000000000005</v>
      </c>
      <c r="G19" s="11">
        <f t="shared" si="1"/>
        <v>11.080000000000002</v>
      </c>
      <c r="P19" s="33">
        <v>3.53</v>
      </c>
    </row>
    <row r="20" spans="2:16" x14ac:dyDescent="0.2">
      <c r="B20" s="29">
        <v>46063</v>
      </c>
      <c r="C20" s="5"/>
      <c r="D20" s="5"/>
      <c r="E20" s="5">
        <v>1</v>
      </c>
      <c r="F20" s="26">
        <f>(C20*$C$12)+(D20*$D$12)+(E20*$E$12)</f>
        <v>4.7200000000000006</v>
      </c>
      <c r="G20" s="11">
        <f t="shared" si="1"/>
        <v>15.800000000000002</v>
      </c>
      <c r="P20" s="33">
        <v>3.56</v>
      </c>
    </row>
    <row r="21" spans="2:16" x14ac:dyDescent="0.2">
      <c r="B21" s="29">
        <v>46064</v>
      </c>
      <c r="C21" s="5"/>
      <c r="D21" s="5">
        <v>-1</v>
      </c>
      <c r="E21" s="5">
        <v>2</v>
      </c>
      <c r="F21" s="26">
        <f>(C21*$C$12)+(D21*$D$12)+(E21*$E$12)</f>
        <v>8.4400000000000013</v>
      </c>
      <c r="G21" s="11">
        <f t="shared" si="1"/>
        <v>24.240000000000002</v>
      </c>
      <c r="P21" s="33">
        <v>3.58</v>
      </c>
    </row>
    <row r="22" spans="2:16" x14ac:dyDescent="0.2">
      <c r="B22" s="28">
        <v>46065</v>
      </c>
      <c r="C22" s="5"/>
      <c r="D22" s="5">
        <v>2</v>
      </c>
      <c r="E22" s="5">
        <v>1</v>
      </c>
      <c r="F22" s="26">
        <f>(C22*$C$12)+(D22*$D$12)+(E22*$E$12)</f>
        <v>6.7200000000000006</v>
      </c>
      <c r="G22" s="11">
        <f t="shared" si="1"/>
        <v>30.96</v>
      </c>
      <c r="P22" s="33">
        <v>3.59</v>
      </c>
    </row>
    <row r="23" spans="2:16" x14ac:dyDescent="0.2">
      <c r="B23" s="28">
        <v>46066</v>
      </c>
      <c r="C23" s="5"/>
      <c r="D23" s="5">
        <v>1</v>
      </c>
      <c r="E23" s="5"/>
      <c r="F23" s="26">
        <f>(C23*$C$12)+(D23*$D$12)+(E23*$E$12)</f>
        <v>1</v>
      </c>
      <c r="G23" s="11">
        <f t="shared" si="1"/>
        <v>31.96</v>
      </c>
      <c r="P23" s="33">
        <v>3.75</v>
      </c>
    </row>
    <row r="24" spans="2:16" x14ac:dyDescent="0.2">
      <c r="B24" s="28">
        <v>46069</v>
      </c>
      <c r="C24" s="5"/>
      <c r="D24" s="5"/>
      <c r="E24" s="5"/>
      <c r="F24" s="26">
        <f>(C24*$C$12)+(D24*$D$12)+(E24*$E$12)</f>
        <v>0</v>
      </c>
      <c r="G24" s="11">
        <f t="shared" si="1"/>
        <v>31.96</v>
      </c>
      <c r="P24" s="33">
        <v>3.75</v>
      </c>
    </row>
    <row r="25" spans="2:16" x14ac:dyDescent="0.2">
      <c r="B25" s="28">
        <v>46070</v>
      </c>
      <c r="C25" s="5"/>
      <c r="D25" s="5"/>
      <c r="E25" s="5"/>
      <c r="F25" s="26">
        <f>(C25*$C$12)+(D25*$D$12)+(E25*$E$12)</f>
        <v>0</v>
      </c>
      <c r="G25" s="11">
        <f t="shared" si="1"/>
        <v>31.96</v>
      </c>
      <c r="P25" s="33">
        <v>3.8</v>
      </c>
    </row>
    <row r="26" spans="2:16" x14ac:dyDescent="0.2">
      <c r="B26" s="28">
        <v>46071</v>
      </c>
      <c r="C26" s="5"/>
      <c r="D26" s="5">
        <v>3</v>
      </c>
      <c r="E26" s="5"/>
      <c r="F26" s="26">
        <f>(C26*$C$12)+(D26*$D$12)+(E26*$E$12)</f>
        <v>3</v>
      </c>
      <c r="G26" s="11">
        <f t="shared" si="1"/>
        <v>34.96</v>
      </c>
      <c r="P26" s="33">
        <v>3.8140000000000001</v>
      </c>
    </row>
    <row r="27" spans="2:16" x14ac:dyDescent="0.2">
      <c r="B27" s="28">
        <v>46072</v>
      </c>
      <c r="C27" s="5"/>
      <c r="D27" s="5"/>
      <c r="E27" s="5">
        <v>1</v>
      </c>
      <c r="F27" s="26">
        <f>(C27*$C$12)+(D27*$D$12)+(E27*$E$12)</f>
        <v>4.7200000000000006</v>
      </c>
      <c r="G27" s="11">
        <f t="shared" si="1"/>
        <v>39.68</v>
      </c>
      <c r="P27" s="33">
        <v>3.8660000000000001</v>
      </c>
    </row>
    <row r="28" spans="2:16" x14ac:dyDescent="0.2">
      <c r="B28" s="28">
        <v>46073</v>
      </c>
      <c r="C28" s="5"/>
      <c r="D28" s="5"/>
      <c r="E28" s="5">
        <v>1</v>
      </c>
      <c r="F28" s="26">
        <f>(C28*$C$12)+(D28*$D$12)+(E28*$E$12)</f>
        <v>4.7200000000000006</v>
      </c>
      <c r="G28" s="11">
        <f t="shared" si="1"/>
        <v>44.4</v>
      </c>
      <c r="P28" s="33">
        <v>3.99</v>
      </c>
    </row>
    <row r="29" spans="2:16" x14ac:dyDescent="0.2">
      <c r="B29" s="28">
        <v>46076</v>
      </c>
      <c r="C29" s="5">
        <v>1</v>
      </c>
      <c r="D29" s="5"/>
      <c r="E29" s="31">
        <f>2/5.9</f>
        <v>0.33898305084745761</v>
      </c>
      <c r="F29" s="26">
        <f>(C29*$C$12)+(D29*$D$12)+(E29*$E$12)</f>
        <v>-2.6</v>
      </c>
      <c r="G29" s="11">
        <f t="shared" si="1"/>
        <v>41.8</v>
      </c>
      <c r="P29" s="33">
        <v>3.99</v>
      </c>
    </row>
    <row r="30" spans="2:16" x14ac:dyDescent="0.2">
      <c r="B30" s="28">
        <v>46077</v>
      </c>
      <c r="C30" s="5">
        <v>1</v>
      </c>
      <c r="D30" s="5">
        <v>2</v>
      </c>
      <c r="E30" s="5">
        <v>1</v>
      </c>
      <c r="F30" s="26">
        <f>(C30*$C$12)+(D30*$D$12)+(E30*$E$12)</f>
        <v>2.5200000000000005</v>
      </c>
      <c r="G30" s="11">
        <f t="shared" si="1"/>
        <v>44.32</v>
      </c>
      <c r="P30" s="33">
        <v>4.1989999999999998</v>
      </c>
    </row>
    <row r="31" spans="2:16" x14ac:dyDescent="0.2">
      <c r="B31" s="28">
        <v>46078</v>
      </c>
      <c r="C31" s="5"/>
      <c r="D31" s="5">
        <v>1</v>
      </c>
      <c r="E31" s="5"/>
      <c r="F31" s="26">
        <f>(C31*$C$12)+(D31*$D$12)+(E31*$E$12)</f>
        <v>1</v>
      </c>
      <c r="G31" s="11">
        <f t="shared" si="1"/>
        <v>45.32</v>
      </c>
      <c r="P31" s="33">
        <v>4.32</v>
      </c>
    </row>
    <row r="32" spans="2:16" x14ac:dyDescent="0.2">
      <c r="B32" s="28">
        <v>46079</v>
      </c>
      <c r="C32" s="5">
        <v>1</v>
      </c>
      <c r="D32" s="5">
        <v>3</v>
      </c>
      <c r="E32" s="5"/>
      <c r="F32" s="26">
        <f>(C32*$C$12)+(D32*$D$12)+(E32*$E$12)</f>
        <v>-1.2000000000000002</v>
      </c>
      <c r="G32" s="11">
        <f t="shared" si="1"/>
        <v>44.12</v>
      </c>
      <c r="P32" s="33">
        <v>4.33</v>
      </c>
    </row>
    <row r="33" spans="2:16" x14ac:dyDescent="0.2">
      <c r="B33" s="28">
        <v>46080</v>
      </c>
      <c r="C33" s="5">
        <v>1</v>
      </c>
      <c r="D33" s="5">
        <v>3</v>
      </c>
      <c r="E33" s="5">
        <v>1</v>
      </c>
      <c r="F33" s="26">
        <f>(C33*$C$12)+(D33*$D$12)+(E33*$E$12)</f>
        <v>3.5200000000000005</v>
      </c>
      <c r="G33" s="11">
        <f t="shared" si="1"/>
        <v>47.64</v>
      </c>
      <c r="H33" s="32">
        <f>G33*$G$1</f>
        <v>4.7640000000000002E-2</v>
      </c>
      <c r="I33" s="11">
        <f>G33</f>
        <v>47.64</v>
      </c>
      <c r="P33" s="33">
        <v>4.3600000000000003</v>
      </c>
    </row>
    <row r="34" spans="2:16" x14ac:dyDescent="0.2">
      <c r="B34" s="28">
        <v>46083</v>
      </c>
      <c r="C34" s="5">
        <v>1</v>
      </c>
      <c r="D34" s="5">
        <v>1</v>
      </c>
      <c r="E34" s="5"/>
      <c r="F34" s="26">
        <f>(C34*$C$12)+(D34*$D$12)+(E34*$E$12)</f>
        <v>-3.2</v>
      </c>
      <c r="G34" s="11">
        <f t="shared" ref="G34:G39" si="2">G33+F34</f>
        <v>44.44</v>
      </c>
      <c r="P34" s="33">
        <v>4.55</v>
      </c>
    </row>
    <row r="35" spans="2:16" x14ac:dyDescent="0.2">
      <c r="B35" s="28">
        <v>46084</v>
      </c>
      <c r="C35" s="5"/>
      <c r="D35" s="5"/>
      <c r="E35" s="5"/>
      <c r="F35" s="26">
        <f>(C35*$C$12)+(D35*$D$12)+(E35*$E$12)</f>
        <v>0</v>
      </c>
      <c r="G35" s="11">
        <f t="shared" si="2"/>
        <v>44.44</v>
      </c>
      <c r="P35" s="33">
        <v>4.57</v>
      </c>
    </row>
    <row r="36" spans="2:16" x14ac:dyDescent="0.2">
      <c r="B36" s="28">
        <v>46085</v>
      </c>
      <c r="C36" s="5"/>
      <c r="D36" s="5">
        <v>2</v>
      </c>
      <c r="E36" s="5"/>
      <c r="F36" s="26">
        <f>(C36*$C$12)+(D36*$D$12)+(E36*$E$12)</f>
        <v>2</v>
      </c>
      <c r="G36" s="11">
        <f t="shared" si="2"/>
        <v>46.44</v>
      </c>
      <c r="P36" s="33">
        <v>4.63</v>
      </c>
    </row>
    <row r="37" spans="2:16" x14ac:dyDescent="0.2">
      <c r="B37" s="28">
        <v>46086</v>
      </c>
      <c r="C37" s="5"/>
      <c r="D37" s="5">
        <v>4</v>
      </c>
      <c r="E37" s="31">
        <v>0.16</v>
      </c>
      <c r="F37" s="26">
        <f>(C37*$C$12)+(D37*$D$12)+(E37*$E$12)</f>
        <v>4.7552000000000003</v>
      </c>
      <c r="G37" s="11">
        <f t="shared" si="2"/>
        <v>51.1952</v>
      </c>
      <c r="P37" s="33">
        <v>4.6500000000000004</v>
      </c>
    </row>
    <row r="38" spans="2:16" x14ac:dyDescent="0.2">
      <c r="B38" s="28">
        <v>46087</v>
      </c>
      <c r="C38" s="5"/>
      <c r="D38" s="5">
        <v>3</v>
      </c>
      <c r="E38" s="5"/>
      <c r="F38" s="26">
        <f>(C38*$C$12)+(D38*$D$12)+(E38*$E$12)</f>
        <v>3</v>
      </c>
      <c r="G38" s="11">
        <f t="shared" si="2"/>
        <v>54.1952</v>
      </c>
      <c r="P38" s="33">
        <v>5.0330000000000004</v>
      </c>
    </row>
    <row r="39" spans="2:16" x14ac:dyDescent="0.2">
      <c r="B39" s="36">
        <v>46090</v>
      </c>
      <c r="C39" s="5">
        <v>1</v>
      </c>
      <c r="D39" s="5">
        <v>1</v>
      </c>
      <c r="E39" s="5"/>
      <c r="F39" s="26">
        <f>(C39*$C$12)+(D39*$D$12)+(E39*$E$12)</f>
        <v>-3.2</v>
      </c>
      <c r="G39" s="11">
        <f t="shared" si="2"/>
        <v>50.995199999999997</v>
      </c>
      <c r="P39" s="33">
        <v>5.7140000000000004</v>
      </c>
    </row>
    <row r="40" spans="2:16" x14ac:dyDescent="0.2">
      <c r="B40" s="36">
        <v>46091</v>
      </c>
      <c r="C40" s="5">
        <v>1</v>
      </c>
      <c r="D40" s="5">
        <v>4</v>
      </c>
      <c r="E40" s="5"/>
      <c r="F40" s="26">
        <f>(C40*$C$12)+(D40*$D$12)+(E40*$E$12)</f>
        <v>-0.20000000000000018</v>
      </c>
      <c r="G40" s="11">
        <f t="shared" ref="G40:G66" si="3">G39+F40</f>
        <v>50.795199999999994</v>
      </c>
      <c r="P40" s="33">
        <v>5.98</v>
      </c>
    </row>
    <row r="41" spans="2:16" x14ac:dyDescent="0.2">
      <c r="B41" s="36">
        <v>46092</v>
      </c>
      <c r="C41" s="5">
        <v>1</v>
      </c>
      <c r="D41" s="5">
        <v>1</v>
      </c>
      <c r="E41" s="31">
        <v>0.16</v>
      </c>
      <c r="F41" s="26">
        <f>(C41*$C$12)+(D41*$D$12)+(E41*$E$12)</f>
        <v>-2.4447999999999999</v>
      </c>
      <c r="G41" s="11">
        <f t="shared" si="3"/>
        <v>48.350399999999993</v>
      </c>
      <c r="P41" s="33">
        <v>6.28</v>
      </c>
    </row>
    <row r="42" spans="2:16" x14ac:dyDescent="0.2">
      <c r="B42" s="36">
        <v>46093</v>
      </c>
      <c r="C42" s="5"/>
      <c r="D42" s="5">
        <v>1</v>
      </c>
      <c r="E42" s="5">
        <v>1</v>
      </c>
      <c r="F42" s="26">
        <f>(C42*$C$12)+(D42*$D$12)+(E42*$E$12)</f>
        <v>5.7200000000000006</v>
      </c>
      <c r="G42" s="11">
        <f t="shared" si="3"/>
        <v>54.070399999999992</v>
      </c>
      <c r="P42" s="33">
        <v>6.58</v>
      </c>
    </row>
    <row r="43" spans="2:16" x14ac:dyDescent="0.2">
      <c r="B43" s="36">
        <v>46094</v>
      </c>
      <c r="C43" s="5"/>
      <c r="D43" s="5">
        <v>1</v>
      </c>
      <c r="E43" s="5"/>
      <c r="F43" s="26">
        <f>(C43*$C$12)+(D43*$D$12)+(E43*$E$12)</f>
        <v>1</v>
      </c>
      <c r="G43" s="11">
        <f t="shared" si="3"/>
        <v>55.070399999999992</v>
      </c>
      <c r="P43" s="33">
        <v>6.73</v>
      </c>
    </row>
    <row r="44" spans="2:16" x14ac:dyDescent="0.2">
      <c r="B44" s="36">
        <v>46097</v>
      </c>
      <c r="C44" s="5"/>
      <c r="D44" s="5">
        <v>2</v>
      </c>
      <c r="E44" s="5"/>
      <c r="F44" s="26">
        <f>(C44*$C$12)+(D44*$D$12)+(E44*$E$12)</f>
        <v>2</v>
      </c>
      <c r="G44" s="11">
        <f t="shared" si="3"/>
        <v>57.070399999999992</v>
      </c>
      <c r="P44" s="33">
        <v>6.7549999999999999</v>
      </c>
    </row>
    <row r="45" spans="2:16" x14ac:dyDescent="0.2">
      <c r="B45" s="36">
        <v>46098</v>
      </c>
      <c r="C45" s="5">
        <v>1</v>
      </c>
      <c r="D45" s="5">
        <v>1</v>
      </c>
      <c r="E45" s="5">
        <v>2</v>
      </c>
      <c r="F45" s="26">
        <f>(C45*$C$12)+(D45*$D$12)+(E45*$E$12)</f>
        <v>6.2400000000000011</v>
      </c>
      <c r="G45" s="11">
        <f t="shared" si="3"/>
        <v>63.310399999999994</v>
      </c>
      <c r="P45" s="33">
        <v>6.98</v>
      </c>
    </row>
    <row r="46" spans="2:16" x14ac:dyDescent="0.2">
      <c r="B46" s="36">
        <v>46099</v>
      </c>
      <c r="C46" s="5"/>
      <c r="D46" s="5"/>
      <c r="E46" s="5">
        <v>1</v>
      </c>
      <c r="F46" s="26">
        <f>(C46*$C$12)+(D46*$D$12)+(E46*$E$12)</f>
        <v>4.7200000000000006</v>
      </c>
      <c r="G46" s="11">
        <f t="shared" si="3"/>
        <v>68.0304</v>
      </c>
      <c r="P46" s="33">
        <v>7.06</v>
      </c>
    </row>
    <row r="47" spans="2:16" x14ac:dyDescent="0.2">
      <c r="B47" s="36">
        <v>46100</v>
      </c>
      <c r="C47" s="5">
        <v>1</v>
      </c>
      <c r="D47" s="5"/>
      <c r="E47" s="5"/>
      <c r="F47" s="26">
        <f>(C47*$C$12)+(D47*$D$12)+(E47*$E$12)</f>
        <v>-4.2</v>
      </c>
      <c r="G47" s="11">
        <f t="shared" si="3"/>
        <v>63.830399999999997</v>
      </c>
      <c r="P47" s="33">
        <v>7.09</v>
      </c>
    </row>
    <row r="48" spans="2:16" x14ac:dyDescent="0.2">
      <c r="B48" s="36">
        <v>46101</v>
      </c>
      <c r="C48" s="5">
        <v>1</v>
      </c>
      <c r="D48" s="5">
        <v>2</v>
      </c>
      <c r="E48" s="5"/>
      <c r="F48" s="26">
        <f>(C48*$C$12)+(D48*$D$12)+(E48*$E$12)</f>
        <v>-2.2000000000000002</v>
      </c>
      <c r="G48" s="11">
        <f t="shared" si="3"/>
        <v>61.630399999999995</v>
      </c>
      <c r="P48" s="33">
        <v>7.25</v>
      </c>
    </row>
    <row r="49" spans="2:16" x14ac:dyDescent="0.2">
      <c r="B49" s="36">
        <v>46104</v>
      </c>
      <c r="C49" s="5">
        <v>1</v>
      </c>
      <c r="D49" s="5">
        <v>1</v>
      </c>
      <c r="E49" s="5"/>
      <c r="F49" s="26">
        <f>(C49*$C$12)+(D49*$D$12)+(E49*$E$12)</f>
        <v>-3.2</v>
      </c>
      <c r="G49" s="11">
        <f t="shared" si="3"/>
        <v>58.430399999999992</v>
      </c>
      <c r="P49" s="33">
        <v>7.29</v>
      </c>
    </row>
    <row r="50" spans="2:16" x14ac:dyDescent="0.2">
      <c r="B50" s="36">
        <v>46105</v>
      </c>
      <c r="C50" s="5">
        <v>1</v>
      </c>
      <c r="D50" s="5">
        <v>3</v>
      </c>
      <c r="E50" s="5">
        <v>1</v>
      </c>
      <c r="F50" s="26">
        <f>(C50*$C$12)+(D50*$D$12)+(E50*$E$12)</f>
        <v>3.5200000000000005</v>
      </c>
      <c r="G50" s="11">
        <f t="shared" si="3"/>
        <v>61.950399999999995</v>
      </c>
      <c r="P50" s="33">
        <v>7.7869999999999999</v>
      </c>
    </row>
    <row r="51" spans="2:16" x14ac:dyDescent="0.2">
      <c r="B51" s="36">
        <v>46106</v>
      </c>
      <c r="C51" s="5"/>
      <c r="D51" s="5">
        <v>1</v>
      </c>
      <c r="E51" s="5">
        <v>1</v>
      </c>
      <c r="F51" s="26">
        <f>(C51*$C$12)+(D51*$D$12)+(E51*$E$12)</f>
        <v>5.7200000000000006</v>
      </c>
      <c r="G51" s="11">
        <f t="shared" si="3"/>
        <v>67.670400000000001</v>
      </c>
      <c r="P51" s="33">
        <v>7.8440000000000003</v>
      </c>
    </row>
    <row r="52" spans="2:16" x14ac:dyDescent="0.2">
      <c r="B52" s="36">
        <v>46107</v>
      </c>
      <c r="C52" s="5"/>
      <c r="D52" s="5">
        <v>2</v>
      </c>
      <c r="E52" s="5"/>
      <c r="F52" s="26">
        <f>(C52*$C$12)+(D52*$D$12)+(E52*$E$12)</f>
        <v>2</v>
      </c>
      <c r="G52" s="11">
        <f t="shared" si="3"/>
        <v>69.670400000000001</v>
      </c>
      <c r="P52" s="33">
        <v>7.8570000000000002</v>
      </c>
    </row>
    <row r="53" spans="2:16" x14ac:dyDescent="0.2">
      <c r="B53" s="36">
        <v>46108</v>
      </c>
      <c r="C53" s="5">
        <v>2</v>
      </c>
      <c r="D53" s="5">
        <v>2</v>
      </c>
      <c r="E53" s="5">
        <v>1</v>
      </c>
      <c r="F53" s="26">
        <f>(C53*$C$12)+(D53*$D$12)+(E53*$E$12)</f>
        <v>-1.6799999999999997</v>
      </c>
      <c r="G53" s="11">
        <f t="shared" si="3"/>
        <v>67.990399999999994</v>
      </c>
      <c r="P53" s="33">
        <v>7.9249999999999998</v>
      </c>
    </row>
    <row r="54" spans="2:16" x14ac:dyDescent="0.2">
      <c r="B54" s="36">
        <v>46111</v>
      </c>
      <c r="C54" s="5"/>
      <c r="D54" s="5">
        <v>1</v>
      </c>
      <c r="E54" s="5"/>
      <c r="F54" s="26">
        <f>(C54*$C$12)+(D54*$D$12)+(E54*$E$12)</f>
        <v>1</v>
      </c>
      <c r="G54" s="11">
        <f t="shared" si="3"/>
        <v>68.990399999999994</v>
      </c>
      <c r="P54" s="33">
        <v>8.14</v>
      </c>
    </row>
    <row r="55" spans="2:16" x14ac:dyDescent="0.2">
      <c r="B55" s="36">
        <v>46112</v>
      </c>
      <c r="C55" s="5">
        <v>2</v>
      </c>
      <c r="D55" s="5">
        <v>3</v>
      </c>
      <c r="E55" s="5"/>
      <c r="F55" s="26">
        <f>(C55*$C$12)+(D55*$D$12)+(E55*$E$12)</f>
        <v>-5.4</v>
      </c>
      <c r="G55" s="11">
        <f t="shared" si="3"/>
        <v>63.590399999999995</v>
      </c>
      <c r="H55" s="32">
        <f>G55*$G$1</f>
        <v>6.3590399999999991E-2</v>
      </c>
      <c r="I55" s="11">
        <f>G55-G33</f>
        <v>15.950399999999995</v>
      </c>
      <c r="P55" s="33">
        <v>8.27</v>
      </c>
    </row>
    <row r="56" spans="2:16" x14ac:dyDescent="0.2">
      <c r="B56" s="36">
        <v>46113</v>
      </c>
      <c r="C56" s="5"/>
      <c r="D56" s="5">
        <v>1</v>
      </c>
      <c r="E56" s="5">
        <v>1</v>
      </c>
      <c r="F56" s="26">
        <f>(C56*$C$12)+(D56*$D$12)+(E56*$E$12)</f>
        <v>5.7200000000000006</v>
      </c>
      <c r="G56" s="11">
        <f t="shared" si="3"/>
        <v>69.310400000000001</v>
      </c>
      <c r="P56" s="33">
        <v>8.4350000000000005</v>
      </c>
    </row>
    <row r="57" spans="2:16" x14ac:dyDescent="0.2">
      <c r="B57" s="36">
        <v>46114</v>
      </c>
      <c r="C57" s="5">
        <v>1</v>
      </c>
      <c r="D57" s="5">
        <v>2</v>
      </c>
      <c r="E57" s="5"/>
      <c r="F57" s="26">
        <f>(C57*$C$12)+(D57*$D$12)+(E57*$E$12)</f>
        <v>-2.2000000000000002</v>
      </c>
      <c r="G57" s="11">
        <f t="shared" si="3"/>
        <v>67.110399999999998</v>
      </c>
      <c r="P57" s="33">
        <v>8.74</v>
      </c>
    </row>
    <row r="58" spans="2:16" x14ac:dyDescent="0.2">
      <c r="B58" s="36">
        <v>46118</v>
      </c>
      <c r="C58" s="5"/>
      <c r="D58" s="5">
        <v>1</v>
      </c>
      <c r="E58" s="31">
        <f>1/5.9</f>
        <v>0.16949152542372881</v>
      </c>
      <c r="F58" s="26">
        <f>(C58*$C$12)+(D58*$D$12)+(E58*$E$12)</f>
        <v>1.8</v>
      </c>
      <c r="G58" s="11">
        <f t="shared" si="3"/>
        <v>68.910399999999996</v>
      </c>
      <c r="P58" s="33">
        <v>9.09</v>
      </c>
    </row>
    <row r="59" spans="2:16" x14ac:dyDescent="0.2">
      <c r="B59" s="36">
        <v>46119</v>
      </c>
      <c r="C59" s="5"/>
      <c r="D59" s="5">
        <v>3</v>
      </c>
      <c r="E59" s="5"/>
      <c r="F59" s="26">
        <f>(C59*$C$12)+(D59*$D$12)+(E59*$E$12)</f>
        <v>3</v>
      </c>
      <c r="G59" s="11">
        <f t="shared" si="3"/>
        <v>71.910399999999996</v>
      </c>
      <c r="P59" s="33">
        <v>9.4700000000000006</v>
      </c>
    </row>
    <row r="60" spans="2:16" x14ac:dyDescent="0.2">
      <c r="B60" s="36">
        <v>46120</v>
      </c>
      <c r="C60" s="5">
        <v>1</v>
      </c>
      <c r="D60" s="5">
        <v>1</v>
      </c>
      <c r="E60" s="5"/>
      <c r="F60" s="26">
        <f>(C60*$C$12)+(D60*$D$12)+(E60*$E$12)</f>
        <v>-3.2</v>
      </c>
      <c r="G60" s="11">
        <f t="shared" si="3"/>
        <v>68.710399999999993</v>
      </c>
      <c r="P60" s="33">
        <v>9.92</v>
      </c>
    </row>
    <row r="61" spans="2:16" x14ac:dyDescent="0.2">
      <c r="B61" s="36">
        <v>46121</v>
      </c>
      <c r="C61" s="5">
        <v>1</v>
      </c>
      <c r="D61" s="5"/>
      <c r="E61" s="5"/>
      <c r="F61" s="26">
        <f>(C61*$C$12)+(D61*$D$12)+(E61*$E$12)</f>
        <v>-4.2</v>
      </c>
      <c r="G61" s="11">
        <f t="shared" si="3"/>
        <v>64.51039999999999</v>
      </c>
      <c r="P61" s="33">
        <v>10.02</v>
      </c>
    </row>
    <row r="62" spans="2:16" x14ac:dyDescent="0.2">
      <c r="B62" s="36">
        <v>46122</v>
      </c>
      <c r="C62" s="5">
        <v>1</v>
      </c>
      <c r="D62" s="5">
        <v>1</v>
      </c>
      <c r="E62" s="5">
        <v>1</v>
      </c>
      <c r="F62" s="26">
        <f>(C62*$C$12)+(D62*$D$12)+(E62*$E$12)</f>
        <v>1.5200000000000005</v>
      </c>
      <c r="G62" s="11">
        <f t="shared" si="3"/>
        <v>66.030399999999986</v>
      </c>
      <c r="P62" s="33">
        <v>10.24</v>
      </c>
    </row>
    <row r="63" spans="2:16" x14ac:dyDescent="0.2">
      <c r="B63" s="36">
        <v>46123</v>
      </c>
      <c r="C63" s="5">
        <v>1</v>
      </c>
      <c r="D63" s="5"/>
      <c r="E63" s="5"/>
      <c r="F63" s="26">
        <f>(C63*$C$12)+(D63*$D$12)+(E63*$E$12)</f>
        <v>-4.2</v>
      </c>
      <c r="G63" s="11">
        <f t="shared" si="3"/>
        <v>61.830399999999983</v>
      </c>
      <c r="P63" s="33">
        <v>10.82</v>
      </c>
    </row>
    <row r="64" spans="2:16" x14ac:dyDescent="0.2">
      <c r="B64" s="36">
        <v>46125</v>
      </c>
      <c r="C64" s="5"/>
      <c r="D64" s="5">
        <v>1</v>
      </c>
      <c r="E64" s="5"/>
      <c r="F64" s="26">
        <f>(C64*$C$12)+(D64*$D$12)+(E64*$E$12)</f>
        <v>1</v>
      </c>
      <c r="G64" s="11">
        <f t="shared" si="3"/>
        <v>62.830399999999983</v>
      </c>
      <c r="P64" s="33">
        <v>11.74</v>
      </c>
    </row>
    <row r="65" spans="2:16" x14ac:dyDescent="0.2">
      <c r="B65" s="36">
        <v>46126</v>
      </c>
      <c r="C65" s="5"/>
      <c r="D65" s="5">
        <v>4</v>
      </c>
      <c r="E65" s="5">
        <v>1</v>
      </c>
      <c r="F65" s="26">
        <f>(C65*$C$12)+(D65*$D$12)+(E65*$E$12)</f>
        <v>8.7200000000000006</v>
      </c>
      <c r="G65" s="11">
        <f t="shared" si="3"/>
        <v>71.550399999999982</v>
      </c>
      <c r="P65" s="33">
        <v>11.87</v>
      </c>
    </row>
    <row r="66" spans="2:16" x14ac:dyDescent="0.2">
      <c r="B66" s="36">
        <v>46127</v>
      </c>
      <c r="C66" s="5"/>
      <c r="D66" s="5">
        <v>3</v>
      </c>
      <c r="E66" s="5"/>
      <c r="F66" s="26">
        <f>(C66*$C$12)+(D66*$D$12)+(E66*$E$12)</f>
        <v>3</v>
      </c>
      <c r="G66" s="11">
        <f t="shared" si="3"/>
        <v>74.550399999999982</v>
      </c>
      <c r="P66" s="33">
        <v>12.26</v>
      </c>
    </row>
    <row r="67" spans="2:16" x14ac:dyDescent="0.2">
      <c r="B67" s="36">
        <v>46128</v>
      </c>
      <c r="C67" s="5">
        <v>1</v>
      </c>
      <c r="D67" s="5">
        <v>1</v>
      </c>
      <c r="E67" s="5">
        <v>1</v>
      </c>
      <c r="F67" s="26">
        <f>(C67*$C$12)+(D67*$D$12)+(E67*$E$12)</f>
        <v>1.5200000000000005</v>
      </c>
      <c r="G67" s="11">
        <f t="shared" ref="G67:G73" si="4">G66+F67</f>
        <v>76.070399999999978</v>
      </c>
      <c r="P67" s="33">
        <v>12.42</v>
      </c>
    </row>
    <row r="68" spans="2:16" x14ac:dyDescent="0.2">
      <c r="B68" s="36">
        <v>46129</v>
      </c>
      <c r="C68" s="5"/>
      <c r="D68" s="5">
        <v>1</v>
      </c>
      <c r="E68" s="5"/>
      <c r="F68" s="26">
        <f>(C68*$C$12)+(D68*$D$12)+(E68*$E$12)</f>
        <v>1</v>
      </c>
      <c r="G68" s="11">
        <f t="shared" si="4"/>
        <v>77.070399999999978</v>
      </c>
      <c r="P68" s="33">
        <v>12.88</v>
      </c>
    </row>
    <row r="69" spans="2:16" x14ac:dyDescent="0.2">
      <c r="B69" s="36">
        <v>46132</v>
      </c>
      <c r="C69" s="5"/>
      <c r="D69" s="5">
        <v>1</v>
      </c>
      <c r="E69" s="5"/>
      <c r="F69" s="26">
        <f>(C69*$C$12)+(D69*$D$12)+(E69*$E$12)</f>
        <v>1</v>
      </c>
      <c r="G69" s="11">
        <f t="shared" si="4"/>
        <v>78.070399999999978</v>
      </c>
      <c r="P69" s="33">
        <v>12.95</v>
      </c>
    </row>
    <row r="70" spans="2:16" x14ac:dyDescent="0.2">
      <c r="B70" s="36">
        <v>46133</v>
      </c>
      <c r="C70" s="5"/>
      <c r="D70" s="5"/>
      <c r="E70" s="31">
        <f>2.65</f>
        <v>2.65</v>
      </c>
      <c r="F70" s="26">
        <f>(C70*$C$12)+(D70*$D$12)+(E70*$E$12)</f>
        <v>12.508000000000001</v>
      </c>
      <c r="G70" s="11">
        <f t="shared" si="4"/>
        <v>90.578399999999974</v>
      </c>
      <c r="P70" s="33">
        <v>13.2</v>
      </c>
    </row>
    <row r="71" spans="2:16" x14ac:dyDescent="0.2">
      <c r="B71" s="36">
        <v>46134</v>
      </c>
      <c r="C71" s="5">
        <v>1</v>
      </c>
      <c r="D71" s="5">
        <v>2</v>
      </c>
      <c r="E71" s="5"/>
      <c r="F71" s="26">
        <f>(C71*$C$12)+(D71*$D$12)+(E71*$E$12)</f>
        <v>-2.2000000000000002</v>
      </c>
      <c r="G71" s="11">
        <f t="shared" si="4"/>
        <v>88.378399999999971</v>
      </c>
      <c r="H71" s="35"/>
      <c r="P71" s="33">
        <v>13.34</v>
      </c>
    </row>
    <row r="72" spans="2:16" x14ac:dyDescent="0.2">
      <c r="B72" s="36">
        <v>46135</v>
      </c>
      <c r="C72" s="5">
        <v>2</v>
      </c>
      <c r="D72" s="5"/>
      <c r="E72" s="5">
        <v>1</v>
      </c>
      <c r="F72" s="26">
        <f>(C72*$C$12)+(D72*$D$12)+(E72*$E$12)</f>
        <v>-3.6799999999999997</v>
      </c>
      <c r="G72" s="11">
        <f t="shared" si="4"/>
        <v>84.698399999999964</v>
      </c>
      <c r="P72" s="33">
        <v>13.35</v>
      </c>
    </row>
    <row r="73" spans="2:16" x14ac:dyDescent="0.2">
      <c r="B73" s="36">
        <v>46136</v>
      </c>
      <c r="C73" s="5"/>
      <c r="D73" s="5">
        <v>1</v>
      </c>
      <c r="E73" s="31">
        <v>0.15</v>
      </c>
      <c r="F73" s="26">
        <f>(C73*$C$12)+(D73*$D$12)+(E73*$E$12)</f>
        <v>1.7080000000000002</v>
      </c>
      <c r="G73" s="11">
        <f t="shared" si="4"/>
        <v>86.406399999999962</v>
      </c>
      <c r="P73" s="33">
        <v>14.34</v>
      </c>
    </row>
    <row r="74" spans="2:16" x14ac:dyDescent="0.2">
      <c r="B74" s="28">
        <v>46139</v>
      </c>
      <c r="C74" s="5"/>
      <c r="D74" s="5">
        <v>2</v>
      </c>
      <c r="E74" s="5"/>
      <c r="F74" s="26">
        <f>(C74*$C$12)+(D74*$D$12)+(E74*$E$12)</f>
        <v>2</v>
      </c>
      <c r="G74" s="11">
        <f t="shared" ref="G74:G77" si="5">G73+F74</f>
        <v>88.406399999999962</v>
      </c>
      <c r="P74" s="33">
        <v>15.4</v>
      </c>
    </row>
    <row r="75" spans="2:16" x14ac:dyDescent="0.2">
      <c r="B75" s="28">
        <v>46140</v>
      </c>
      <c r="C75" s="5"/>
      <c r="D75" s="5">
        <v>1</v>
      </c>
      <c r="E75" s="5">
        <v>1</v>
      </c>
      <c r="F75" s="26">
        <f>(C75*$C$12)+(D75*$D$12)+(E75*$E$12)</f>
        <v>5.7200000000000006</v>
      </c>
      <c r="G75" s="11">
        <f t="shared" si="5"/>
        <v>94.126399999999961</v>
      </c>
      <c r="P75" s="33">
        <v>15.8</v>
      </c>
    </row>
    <row r="76" spans="2:16" x14ac:dyDescent="0.2">
      <c r="B76" s="28">
        <v>46141</v>
      </c>
      <c r="C76" s="5"/>
      <c r="D76" s="5">
        <v>1</v>
      </c>
      <c r="E76" s="5">
        <v>1</v>
      </c>
      <c r="F76" s="26">
        <f>(C76*$C$12)+(D76*$D$12)+(E76*$E$12)</f>
        <v>5.7200000000000006</v>
      </c>
      <c r="G76" s="11">
        <f t="shared" si="5"/>
        <v>99.84639999999996</v>
      </c>
      <c r="P76" s="33">
        <v>15.92</v>
      </c>
    </row>
    <row r="77" spans="2:16" x14ac:dyDescent="0.2">
      <c r="B77" s="28">
        <v>46142</v>
      </c>
      <c r="C77" s="5">
        <v>1</v>
      </c>
      <c r="D77" s="5">
        <v>1</v>
      </c>
      <c r="E77" s="5"/>
      <c r="F77" s="26">
        <f>(C77*$C$12)+(D77*$D$12)+(E77*$E$12)</f>
        <v>-3.2</v>
      </c>
      <c r="G77" s="11">
        <f t="shared" si="5"/>
        <v>96.646399999999957</v>
      </c>
      <c r="H77" s="32">
        <f>G77*$G$1</f>
        <v>9.6646399999999966E-2</v>
      </c>
      <c r="I77" s="11">
        <f>G77-G55</f>
        <v>33.055999999999962</v>
      </c>
      <c r="P77" s="33">
        <v>19.190000000000001</v>
      </c>
    </row>
    <row r="78" spans="2:16" x14ac:dyDescent="0.2">
      <c r="B78" s="28">
        <v>46143</v>
      </c>
      <c r="C78" s="5"/>
      <c r="D78" s="5">
        <v>1</v>
      </c>
      <c r="E78" s="5">
        <v>1</v>
      </c>
      <c r="F78" s="26">
        <f>(C78*$C$12)+(D78*$D$12)+(E78*$E$12)</f>
        <v>5.7200000000000006</v>
      </c>
      <c r="G78" s="11">
        <f t="shared" ref="G78:G83" si="6">G77+F78</f>
        <v>102.36639999999996</v>
      </c>
      <c r="P78" s="33">
        <v>19.850000000000001</v>
      </c>
    </row>
    <row r="79" spans="2:16" x14ac:dyDescent="0.2">
      <c r="B79" s="28">
        <v>46146</v>
      </c>
      <c r="C79" s="5"/>
      <c r="D79" s="5"/>
      <c r="E79" s="5"/>
      <c r="F79" s="26">
        <f>(C79*$C$12)+(D79*$D$12)+(E79*$E$12)</f>
        <v>0</v>
      </c>
      <c r="G79" s="11">
        <f t="shared" si="6"/>
        <v>102.36639999999996</v>
      </c>
      <c r="P79" s="33">
        <v>20.04</v>
      </c>
    </row>
    <row r="80" spans="2:16" x14ac:dyDescent="0.2">
      <c r="B80" s="28">
        <v>46147</v>
      </c>
      <c r="C80" s="5"/>
      <c r="D80" s="5">
        <v>2</v>
      </c>
      <c r="E80" s="5"/>
      <c r="F80" s="26">
        <f>(C80*$C$12)+(D80*$D$12)+(E80*$E$12)</f>
        <v>2</v>
      </c>
      <c r="G80" s="11">
        <f t="shared" si="6"/>
        <v>104.36639999999996</v>
      </c>
      <c r="P80" s="33">
        <v>20.67</v>
      </c>
    </row>
    <row r="81" spans="2:16" x14ac:dyDescent="0.2">
      <c r="B81" s="28">
        <v>46148</v>
      </c>
      <c r="C81" s="5"/>
      <c r="D81" s="5"/>
      <c r="E81" s="5"/>
      <c r="F81" s="26">
        <f>(C81*$C$12)+(D81*$D$12)+(E81*$E$12)</f>
        <v>0</v>
      </c>
      <c r="G81" s="11">
        <f t="shared" si="6"/>
        <v>104.36639999999996</v>
      </c>
      <c r="P81" s="33">
        <v>22.52</v>
      </c>
    </row>
    <row r="82" spans="2:16" x14ac:dyDescent="0.2">
      <c r="B82" s="28">
        <v>46149</v>
      </c>
      <c r="C82" s="5"/>
      <c r="D82" s="5">
        <v>1</v>
      </c>
      <c r="E82" s="5"/>
      <c r="F82" s="26">
        <f>(C82*$C$12)+(D82*$D$12)+(E82*$E$12)</f>
        <v>1</v>
      </c>
      <c r="G82" s="11">
        <f t="shared" si="6"/>
        <v>105.36639999999996</v>
      </c>
      <c r="P82" s="33">
        <v>50.22</v>
      </c>
    </row>
    <row r="83" spans="2:16" x14ac:dyDescent="0.2">
      <c r="B83" s="28">
        <v>46150</v>
      </c>
      <c r="C83" s="5">
        <v>3</v>
      </c>
      <c r="D83" s="5">
        <v>4</v>
      </c>
      <c r="E83" s="5">
        <v>1</v>
      </c>
      <c r="F83" s="26">
        <f>(C83*$C$12)+(D83*$D$12)+(E83*$E$12)</f>
        <v>-3.8800000000000008</v>
      </c>
      <c r="G83" s="11">
        <f t="shared" si="6"/>
        <v>101.48639999999996</v>
      </c>
      <c r="P83" s="33">
        <v>52.59</v>
      </c>
    </row>
    <row r="84" spans="2:16" x14ac:dyDescent="0.2">
      <c r="B84" s="28">
        <v>46153</v>
      </c>
      <c r="C84" s="5">
        <v>2</v>
      </c>
      <c r="D84" s="5">
        <v>2</v>
      </c>
      <c r="E84" s="5"/>
      <c r="F84" s="26">
        <f>(C84*$C$12)+(D84*$D$12)+(E84*$E$12)</f>
        <v>-6.4</v>
      </c>
      <c r="G84" s="11">
        <f t="shared" ref="G84:G90" si="7">G83+F84</f>
        <v>95.086399999999955</v>
      </c>
    </row>
    <row r="85" spans="2:16" x14ac:dyDescent="0.2">
      <c r="B85" s="28">
        <v>46154</v>
      </c>
      <c r="C85" s="5">
        <v>1</v>
      </c>
      <c r="D85" s="5">
        <v>2</v>
      </c>
      <c r="E85" s="5">
        <v>2</v>
      </c>
      <c r="F85" s="26">
        <f>(C85*$C$12)+(D85*$D$12)+(E85*$E$12)</f>
        <v>7.2400000000000011</v>
      </c>
      <c r="G85" s="11">
        <f t="shared" si="7"/>
        <v>102.32639999999995</v>
      </c>
    </row>
    <row r="86" spans="2:16" x14ac:dyDescent="0.2">
      <c r="B86" s="28">
        <v>46155</v>
      </c>
      <c r="C86" s="5">
        <v>2</v>
      </c>
      <c r="D86" s="5">
        <v>2</v>
      </c>
      <c r="E86" s="5"/>
      <c r="F86" s="26">
        <f>(C86*$C$12)+(D86*$D$12)+(E86*$E$12)</f>
        <v>-6.4</v>
      </c>
      <c r="G86" s="11">
        <f t="shared" si="7"/>
        <v>95.926399999999944</v>
      </c>
      <c r="H86" s="34"/>
    </row>
    <row r="87" spans="2:16" x14ac:dyDescent="0.2">
      <c r="B87" s="28">
        <v>46156</v>
      </c>
      <c r="C87" s="5">
        <v>2</v>
      </c>
      <c r="D87" s="5">
        <v>2</v>
      </c>
      <c r="E87" s="5"/>
      <c r="F87" s="26">
        <f>(C87*$C$12)+(D87*$D$12)+(E87*$E$12)</f>
        <v>-6.4</v>
      </c>
      <c r="G87" s="11">
        <f t="shared" si="7"/>
        <v>89.526399999999938</v>
      </c>
    </row>
    <row r="88" spans="2:16" x14ac:dyDescent="0.2">
      <c r="B88" s="28">
        <v>46157</v>
      </c>
      <c r="C88" s="5">
        <v>2</v>
      </c>
      <c r="D88" s="5">
        <v>1</v>
      </c>
      <c r="E88" s="5">
        <v>1</v>
      </c>
      <c r="F88" s="26">
        <f>(C88*$C$12)+(D88*$D$12)+(E88*$E$12)</f>
        <v>-2.6799999999999997</v>
      </c>
      <c r="G88" s="11">
        <f t="shared" si="7"/>
        <v>86.846399999999932</v>
      </c>
    </row>
    <row r="89" spans="2:16" x14ac:dyDescent="0.2">
      <c r="B89" s="28">
        <v>46158</v>
      </c>
      <c r="C89" s="5"/>
      <c r="D89" s="5">
        <v>4</v>
      </c>
      <c r="E89" s="31">
        <f>1.5/5.9</f>
        <v>0.25423728813559321</v>
      </c>
      <c r="F89" s="26">
        <f>(C89*$C$12)+(D89*$D$12)+(E89*$E$12)</f>
        <v>5.2</v>
      </c>
      <c r="G89" s="11">
        <f t="shared" si="7"/>
        <v>92.046399999999934</v>
      </c>
    </row>
    <row r="90" spans="2:16" x14ac:dyDescent="0.2">
      <c r="B90" s="28">
        <v>46161</v>
      </c>
      <c r="C90" s="5"/>
      <c r="D90" s="5">
        <v>1</v>
      </c>
      <c r="E90" s="5">
        <v>2</v>
      </c>
      <c r="F90" s="26">
        <f>(C90*$C$12)+(D90*$D$12)+(E90*$E$12)</f>
        <v>10.440000000000001</v>
      </c>
      <c r="G90" s="11">
        <f t="shared" si="7"/>
        <v>102.48639999999993</v>
      </c>
    </row>
    <row r="91" spans="2:16" x14ac:dyDescent="0.2">
      <c r="B91" s="28">
        <v>46162</v>
      </c>
      <c r="C91" s="5"/>
      <c r="D91" s="5">
        <v>1</v>
      </c>
      <c r="E91" s="31">
        <f>1+3.5/5.9</f>
        <v>1.5932203389830508</v>
      </c>
      <c r="F91" s="26">
        <f>(C91*$C$12)+(D91*$D$12)+(E91*$E$12)</f>
        <v>8.52</v>
      </c>
      <c r="G91" s="11">
        <f t="shared" ref="G91:G95" si="8">G90+F91</f>
        <v>111.00639999999993</v>
      </c>
    </row>
    <row r="92" spans="2:16" x14ac:dyDescent="0.2">
      <c r="B92" s="28">
        <v>46163</v>
      </c>
      <c r="C92" s="5"/>
      <c r="D92" s="5">
        <v>3</v>
      </c>
      <c r="E92" s="31">
        <f>3.2/5.9</f>
        <v>0.5423728813559322</v>
      </c>
      <c r="F92" s="26">
        <f>(C92*$C$12)+(D92*$D$12)+(E92*$E$12)</f>
        <v>5.5600000000000005</v>
      </c>
      <c r="G92" s="11">
        <f t="shared" si="8"/>
        <v>116.56639999999993</v>
      </c>
    </row>
    <row r="93" spans="2:16" x14ac:dyDescent="0.2">
      <c r="B93" s="28">
        <v>46164</v>
      </c>
      <c r="C93" s="5">
        <v>1</v>
      </c>
      <c r="D93" s="5">
        <v>1</v>
      </c>
      <c r="E93" s="5"/>
      <c r="F93" s="26">
        <f>(C93*$C$12)+(D93*$D$12)+(E93*$E$12)</f>
        <v>-3.2</v>
      </c>
      <c r="G93" s="11">
        <f t="shared" si="8"/>
        <v>113.36639999999993</v>
      </c>
    </row>
    <row r="94" spans="2:16" x14ac:dyDescent="0.2">
      <c r="B94" s="28">
        <v>46167</v>
      </c>
      <c r="C94" s="5"/>
      <c r="D94" s="5">
        <v>1</v>
      </c>
      <c r="E94" s="5">
        <v>1</v>
      </c>
      <c r="F94" s="26">
        <f>(C94*$C$12)+(D94*$D$12)+(E94*$E$12)</f>
        <v>5.7200000000000006</v>
      </c>
      <c r="G94" s="11">
        <f t="shared" si="8"/>
        <v>119.08639999999993</v>
      </c>
    </row>
    <row r="95" spans="2:16" x14ac:dyDescent="0.2">
      <c r="B95" s="28">
        <v>46168</v>
      </c>
      <c r="C95" s="5">
        <v>1</v>
      </c>
      <c r="D95" s="5"/>
      <c r="E95" s="5"/>
      <c r="F95" s="26">
        <f>(C95*$C$12)+(D95*$D$12)+(E95*$E$12)</f>
        <v>-4.2</v>
      </c>
      <c r="G95" s="11">
        <f t="shared" si="8"/>
        <v>114.88639999999992</v>
      </c>
    </row>
    <row r="96" spans="2:16" x14ac:dyDescent="0.2">
      <c r="B96" s="28">
        <v>46169</v>
      </c>
      <c r="C96" s="5"/>
      <c r="D96" s="5">
        <v>1</v>
      </c>
      <c r="E96" s="5"/>
      <c r="F96" s="26">
        <f>(C96*$C$12)+(D96*$D$12)+(E96*$E$12)</f>
        <v>1</v>
      </c>
      <c r="G96" s="11">
        <f t="shared" ref="G96:G98" si="9">G95+F96</f>
        <v>115.88639999999992</v>
      </c>
    </row>
    <row r="97" spans="2:9" x14ac:dyDescent="0.2">
      <c r="B97" s="28">
        <v>46170</v>
      </c>
      <c r="C97" s="5"/>
      <c r="D97" s="5">
        <v>1.5</v>
      </c>
      <c r="E97" s="5">
        <v>2</v>
      </c>
      <c r="F97" s="26">
        <f>(C97*$C$12)+(D97*$D$12)+(E97*$E$12)</f>
        <v>10.940000000000001</v>
      </c>
      <c r="G97" s="11">
        <f t="shared" si="9"/>
        <v>126.82639999999992</v>
      </c>
    </row>
    <row r="98" spans="2:9" x14ac:dyDescent="0.2">
      <c r="B98" s="28">
        <v>46171</v>
      </c>
      <c r="C98" s="5"/>
      <c r="D98" s="5">
        <v>3</v>
      </c>
      <c r="E98" s="5"/>
      <c r="F98" s="26">
        <f>(C98*$C$12)+(D98*$D$12)+(E98*$E$12)</f>
        <v>3</v>
      </c>
      <c r="G98" s="11">
        <f t="shared" si="9"/>
        <v>129.82639999999992</v>
      </c>
      <c r="H98" s="32">
        <f>G98*$G$1</f>
        <v>0.12982639999999993</v>
      </c>
      <c r="I98" s="11">
        <f>G98-G77</f>
        <v>33.179999999999964</v>
      </c>
    </row>
    <row r="99" spans="2:9" x14ac:dyDescent="0.2">
      <c r="B99" s="28">
        <v>46174</v>
      </c>
      <c r="C99" s="5">
        <v>1</v>
      </c>
      <c r="D99" s="5">
        <v>1</v>
      </c>
      <c r="E99" s="5"/>
      <c r="F99" s="26">
        <f>(C99*$C$12)+(D99*$D$12)+(E99*$E$12)</f>
        <v>-3.2</v>
      </c>
      <c r="G99" s="11">
        <f t="shared" ref="G99:G101" si="10">G98+F99</f>
        <v>126.62639999999992</v>
      </c>
    </row>
    <row r="100" spans="2:9" x14ac:dyDescent="0.2">
      <c r="B100" s="28">
        <v>46175</v>
      </c>
      <c r="C100" s="5">
        <v>1</v>
      </c>
      <c r="D100" s="5">
        <v>2</v>
      </c>
      <c r="E100" s="5">
        <v>1</v>
      </c>
      <c r="F100" s="26">
        <f>(C100*$C$12)+(D100*$D$12)+(E100*$E$12)</f>
        <v>2.5200000000000005</v>
      </c>
      <c r="G100" s="11">
        <f t="shared" si="10"/>
        <v>129.14639999999991</v>
      </c>
    </row>
    <row r="101" spans="2:9" x14ac:dyDescent="0.2">
      <c r="B101" s="28">
        <v>46176</v>
      </c>
      <c r="C101" s="5">
        <v>2</v>
      </c>
      <c r="D101" s="5"/>
      <c r="E101" s="5"/>
      <c r="F101" s="26">
        <f>(C101*$C$12)+(D101*$D$12)+(E101*$E$12)</f>
        <v>-8.4</v>
      </c>
      <c r="G101" s="11">
        <f t="shared" si="10"/>
        <v>120.74639999999991</v>
      </c>
    </row>
    <row r="102" spans="2:9" x14ac:dyDescent="0.2">
      <c r="B102" s="28">
        <v>46177</v>
      </c>
      <c r="C102" s="5"/>
      <c r="D102" s="5">
        <v>2</v>
      </c>
      <c r="E102" s="5">
        <v>1</v>
      </c>
      <c r="F102" s="26">
        <f>(C102*$C$12)+(D102*$D$12)+(E102*$E$12)</f>
        <v>6.7200000000000006</v>
      </c>
      <c r="G102" s="11">
        <f t="shared" ref="G102:G103" si="11">G101+F102</f>
        <v>127.46639999999991</v>
      </c>
    </row>
    <row r="103" spans="2:9" x14ac:dyDescent="0.2">
      <c r="B103" s="28">
        <v>46178</v>
      </c>
      <c r="C103" s="5"/>
      <c r="D103" s="5"/>
      <c r="E103" s="5">
        <v>1</v>
      </c>
      <c r="F103" s="26">
        <f>(C103*$C$12)+(D103*$D$12)+(E103*$E$12)</f>
        <v>4.7200000000000006</v>
      </c>
      <c r="G103" s="11">
        <f t="shared" si="11"/>
        <v>132.18639999999991</v>
      </c>
      <c r="I103" s="11">
        <f>G103-G98</f>
        <v>2.3599999999999852</v>
      </c>
    </row>
  </sheetData>
  <sortState xmlns:xlrd2="http://schemas.microsoft.com/office/spreadsheetml/2017/richdata2" ref="J19:J100">
    <sortCondition ref="J19:J100"/>
  </sortState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DAX (M30)</vt:lpstr>
      <vt:lpstr>DAX (H1)</vt:lpstr>
      <vt:lpstr>Gold (H1)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 kosta</dc:creator>
  <cp:lastModifiedBy>kosta kosta</cp:lastModifiedBy>
  <dcterms:created xsi:type="dcterms:W3CDTF">2026-05-20T06:37:27Z</dcterms:created>
  <dcterms:modified xsi:type="dcterms:W3CDTF">2026-06-07T11:10:25Z</dcterms:modified>
</cp:coreProperties>
</file>