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sta/Desktop/"/>
    </mc:Choice>
  </mc:AlternateContent>
  <xr:revisionPtr revIDLastSave="0" documentId="8_{B89AD407-AEB4-9B40-BC78-746EE13D4641}" xr6:coauthVersionLast="47" xr6:coauthVersionMax="47" xr10:uidLastSave="{00000000-0000-0000-0000-000000000000}"/>
  <bookViews>
    <workbookView xWindow="780" yWindow="1000" windowWidth="27640" windowHeight="15560" xr2:uid="{8914D190-B82A-4D46-92CC-80373868BB2A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5" i="1" l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" i="1"/>
  <c r="F11" i="1"/>
  <c r="F12" i="1"/>
  <c r="F13" i="1"/>
  <c r="F14" i="1"/>
  <c r="F9" i="1"/>
  <c r="E7" i="1"/>
  <c r="D7" i="1"/>
  <c r="C7" i="1"/>
  <c r="E5" i="1"/>
  <c r="D5" i="1"/>
  <c r="C5" i="1"/>
  <c r="D4" i="1"/>
  <c r="C4" i="1"/>
  <c r="F8" i="1" l="1"/>
  <c r="G10" i="1"/>
  <c r="G11" i="1" s="1"/>
  <c r="G12" i="1" s="1"/>
  <c r="G13" i="1" s="1"/>
  <c r="E4" i="1"/>
  <c r="G9" i="1"/>
  <c r="E3" i="1"/>
  <c r="E2" i="1"/>
  <c r="F4" i="1"/>
  <c r="G14" i="1" l="1"/>
  <c r="G15" i="1" l="1"/>
  <c r="G16" i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l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I28" i="1"/>
  <c r="H28" i="1"/>
  <c r="G51" i="1" l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I50" i="1"/>
  <c r="H50" i="1"/>
  <c r="G72" i="1" l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H71" i="1"/>
  <c r="I71" i="1"/>
  <c r="I92" i="1" l="1"/>
  <c r="G93" i="1"/>
  <c r="G94" i="1" s="1"/>
  <c r="G95" i="1" s="1"/>
  <c r="G96" i="1" s="1"/>
  <c r="G97" i="1" s="1"/>
  <c r="G98" i="1" s="1"/>
  <c r="G99" i="1" s="1"/>
  <c r="G100" i="1" s="1"/>
  <c r="H92" i="1"/>
</calcChain>
</file>

<file path=xl/sharedStrings.xml><?xml version="1.0" encoding="utf-8"?>
<sst xmlns="http://schemas.openxmlformats.org/spreadsheetml/2006/main" count="6" uniqueCount="6">
  <si>
    <t>Win / Rec Loss</t>
  </si>
  <si>
    <t>Win / Rec Win</t>
  </si>
  <si>
    <t>Rec Loss</t>
  </si>
  <si>
    <t>Rec Win</t>
  </si>
  <si>
    <t>Win</t>
  </si>
  <si>
    <t>max dailyDD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</si>
</sst>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09]d\-mmm;@"/>
  </numFmts>
  <fonts count="1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Roboto"/>
    </font>
    <font>
      <sz val="12"/>
      <color theme="0" tint="-0.249977111117893"/>
      <name val="Roboto"/>
    </font>
    <font>
      <i/>
      <sz val="12"/>
      <color theme="1"/>
      <name val="Roboto"/>
    </font>
    <font>
      <b/>
      <i/>
      <sz val="12"/>
      <color theme="5" tint="0.39997558519241921"/>
      <name val="Roboto"/>
    </font>
    <font>
      <sz val="12"/>
      <color rgb="FFFFFFFF"/>
      <name val="Roboto"/>
    </font>
    <font>
      <b/>
      <i/>
      <sz val="12"/>
      <color theme="1"/>
      <name val="Roboto"/>
    </font>
    <font>
      <b/>
      <sz val="12"/>
      <color theme="1"/>
      <name val="Roboto"/>
    </font>
    <font>
      <sz val="12"/>
      <color rgb="FFFF0000"/>
      <name val="Roboto"/>
    </font>
    <font>
      <i/>
      <sz val="12"/>
      <color rgb="FFFF0000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782170"/>
        <bgColor rgb="FF000000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9" fontId="2" fillId="0" borderId="0" xfId="1" applyFont="1" applyAlignment="1">
      <alignment horizontal="center"/>
    </xf>
    <xf numFmtId="0" fontId="3" fillId="0" borderId="0" xfId="0" applyFont="1" applyAlignment="1">
      <alignment horizontal="center"/>
    </xf>
    <xf numFmtId="164" fontId="4" fillId="2" borderId="0" xfId="0" applyNumberFormat="1" applyFont="1" applyFill="1" applyAlignment="1">
      <alignment horizontal="center"/>
    </xf>
    <xf numFmtId="164" fontId="5" fillId="0" borderId="0" xfId="0" applyNumberFormat="1" applyFont="1" applyAlignment="1">
      <alignment horizontal="center"/>
    </xf>
    <xf numFmtId="9" fontId="6" fillId="3" borderId="0" xfId="0" applyNumberFormat="1" applyFont="1" applyFill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/>
    <xf numFmtId="165" fontId="2" fillId="0" borderId="0" xfId="0" applyNumberFormat="1" applyFont="1"/>
    <xf numFmtId="164" fontId="2" fillId="0" borderId="0" xfId="0" applyNumberFormat="1" applyFont="1" applyAlignment="1">
      <alignment horizontal="center"/>
    </xf>
    <xf numFmtId="10" fontId="2" fillId="4" borderId="0" xfId="1" applyNumberFormat="1" applyFont="1" applyFill="1"/>
    <xf numFmtId="16" fontId="2" fillId="0" borderId="0" xfId="0" applyNumberFormat="1" applyFont="1"/>
    <xf numFmtId="2" fontId="2" fillId="0" borderId="0" xfId="0" applyNumberFormat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kosta/Desktop/0Delta.xlsx" TargetMode="External"/><Relationship Id="rId1" Type="http://schemas.openxmlformats.org/officeDocument/2006/relationships/externalLinkPath" Target="0Del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ZERO"/>
      <sheetName val="DAX (M30)"/>
      <sheetName val="DAX (H1)"/>
      <sheetName val="NAS100 (H1)"/>
      <sheetName val="Gold (M30)"/>
      <sheetName val="Gold (H1)"/>
      <sheetName val="Profit mltp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789E4-31E6-1449-AE0D-0D44A0346ED9}">
  <dimension ref="A1:I100"/>
  <sheetViews>
    <sheetView tabSelected="1" workbookViewId="0">
      <selection activeCell="F4" sqref="F4"/>
    </sheetView>
  </sheetViews>
  <sheetFormatPr baseColWidth="10" defaultRowHeight="16" x14ac:dyDescent="0.2"/>
  <sheetData>
    <row r="1" spans="1:9" x14ac:dyDescent="0.2">
      <c r="A1" s="1"/>
      <c r="B1" s="1"/>
      <c r="C1" s="1"/>
      <c r="D1" s="1"/>
      <c r="E1" s="1"/>
      <c r="F1" s="1"/>
      <c r="G1" s="1"/>
      <c r="H1" s="1"/>
      <c r="I1" s="1"/>
    </row>
    <row r="2" spans="1:9" x14ac:dyDescent="0.2">
      <c r="A2" s="1"/>
      <c r="B2" s="1"/>
      <c r="C2" s="1"/>
      <c r="D2" s="1"/>
      <c r="E2" s="2">
        <f>E5/(E5+C5)</f>
        <v>0.6651785714285714</v>
      </c>
      <c r="F2" s="1" t="s">
        <v>0</v>
      </c>
      <c r="G2" s="1"/>
      <c r="H2" s="1"/>
      <c r="I2" s="1"/>
    </row>
    <row r="3" spans="1:9" x14ac:dyDescent="0.2">
      <c r="A3" s="1"/>
      <c r="B3" s="1"/>
      <c r="C3" s="1"/>
      <c r="D3" s="1"/>
      <c r="E3" s="2">
        <f>E5/(E5+D5)</f>
        <v>0.42693409742120342</v>
      </c>
      <c r="F3" s="1" t="s">
        <v>1</v>
      </c>
      <c r="G3" s="1"/>
      <c r="H3" s="1"/>
      <c r="I3" s="1"/>
    </row>
    <row r="4" spans="1:9" x14ac:dyDescent="0.2">
      <c r="A4" s="1"/>
      <c r="B4" s="1"/>
      <c r="C4" s="3">
        <f>IF([1]ZERO!$C$1&lt;&gt;"X",C5*-4.4,C5*-2.2)</f>
        <v>-330</v>
      </c>
      <c r="D4" s="3">
        <f>IF([1]ZERO!$C$1&lt;&gt;"X",D5*0.95,0)</f>
        <v>190</v>
      </c>
      <c r="E4" s="3">
        <f>E5*1.9</f>
        <v>283.09999999999997</v>
      </c>
      <c r="F4" s="4">
        <f>SUM(C4:E4)</f>
        <v>143.09999999999997</v>
      </c>
      <c r="G4" s="1"/>
      <c r="H4" s="1"/>
      <c r="I4" s="1"/>
    </row>
    <row r="5" spans="1:9" x14ac:dyDescent="0.2">
      <c r="A5" s="1"/>
      <c r="B5" s="1"/>
      <c r="C5" s="5">
        <f>SUM(C9:C272)</f>
        <v>75</v>
      </c>
      <c r="D5" s="5">
        <f>SUM(D9:D272)</f>
        <v>200</v>
      </c>
      <c r="E5" s="5">
        <f>SUM(E9:E272)</f>
        <v>149</v>
      </c>
      <c r="F5" s="1"/>
      <c r="G5" s="1"/>
      <c r="H5" s="1"/>
      <c r="I5" s="1"/>
    </row>
    <row r="6" spans="1:9" x14ac:dyDescent="0.2">
      <c r="A6" s="1"/>
      <c r="B6" s="1"/>
      <c r="C6" s="1"/>
      <c r="D6" s="1"/>
      <c r="E6" s="6">
        <v>2.4</v>
      </c>
      <c r="F6" s="1"/>
      <c r="G6" s="1"/>
      <c r="H6" s="1"/>
      <c r="I6" s="1"/>
    </row>
    <row r="7" spans="1:9" x14ac:dyDescent="0.2">
      <c r="A7" s="1"/>
      <c r="B7" s="1"/>
      <c r="C7" s="7">
        <f>IF([1]ZERO!$C$1&lt;&gt;"X",-4.7,-2.2)</f>
        <v>-4.7</v>
      </c>
      <c r="D7" s="8">
        <f>IF([1]ZERO!$C$1&lt;&gt;"X",0.95,0)</f>
        <v>0.95</v>
      </c>
      <c r="E7" s="7">
        <f>E6*0.8</f>
        <v>1.92</v>
      </c>
      <c r="F7" s="1"/>
      <c r="G7" s="1"/>
      <c r="H7" s="1"/>
      <c r="I7" s="1"/>
    </row>
    <row r="8" spans="1:9" x14ac:dyDescent="0.2">
      <c r="A8" s="1"/>
      <c r="B8" s="1"/>
      <c r="C8" s="9" t="s">
        <v>2</v>
      </c>
      <c r="D8" s="9" t="s">
        <v>3</v>
      </c>
      <c r="E8" s="9" t="s">
        <v>4</v>
      </c>
      <c r="F8" s="10">
        <f>MIN(F9:F272)</f>
        <v>-14.030000000000001</v>
      </c>
      <c r="G8" s="11" t="s">
        <v>5</v>
      </c>
      <c r="H8" s="1"/>
      <c r="I8" s="1"/>
    </row>
    <row r="9" spans="1:9" x14ac:dyDescent="0.2">
      <c r="A9" s="1"/>
      <c r="B9" s="12">
        <v>46055</v>
      </c>
      <c r="C9" s="8"/>
      <c r="D9" s="9">
        <v>3</v>
      </c>
      <c r="E9" s="9">
        <v>2</v>
      </c>
      <c r="F9" s="9">
        <f>(C9*$C$7)+(D9*$D$7)+(E9*$E$7)</f>
        <v>6.6899999999999995</v>
      </c>
      <c r="G9" s="9">
        <f>F9</f>
        <v>6.6899999999999995</v>
      </c>
      <c r="H9" s="1"/>
      <c r="I9" s="1"/>
    </row>
    <row r="10" spans="1:9" x14ac:dyDescent="0.2">
      <c r="A10" s="1"/>
      <c r="B10" s="12">
        <v>46056</v>
      </c>
      <c r="C10" s="9"/>
      <c r="D10" s="9">
        <v>3</v>
      </c>
      <c r="E10" s="9">
        <v>3</v>
      </c>
      <c r="F10" s="9">
        <f t="shared" ref="F10:F73" si="0">(C10*$C$7)+(D10*$D$7)+(E10*$E$7)</f>
        <v>8.61</v>
      </c>
      <c r="G10" s="13">
        <f>F9+F10</f>
        <v>15.299999999999999</v>
      </c>
      <c r="H10" s="1"/>
      <c r="I10" s="1"/>
    </row>
    <row r="11" spans="1:9" x14ac:dyDescent="0.2">
      <c r="A11" s="1"/>
      <c r="B11" s="12">
        <v>46057</v>
      </c>
      <c r="C11" s="9">
        <v>1</v>
      </c>
      <c r="D11" s="9">
        <v>3</v>
      </c>
      <c r="E11" s="9">
        <v>4</v>
      </c>
      <c r="F11" s="9">
        <f t="shared" si="0"/>
        <v>5.8299999999999992</v>
      </c>
      <c r="G11" s="13">
        <f t="shared" ref="G11:G13" si="1">G10+F11</f>
        <v>21.13</v>
      </c>
      <c r="H11" s="1"/>
      <c r="I11" s="1"/>
    </row>
    <row r="12" spans="1:9" x14ac:dyDescent="0.2">
      <c r="A12" s="1"/>
      <c r="B12" s="12">
        <v>46058</v>
      </c>
      <c r="C12" s="9">
        <v>2</v>
      </c>
      <c r="D12" s="9">
        <v>4</v>
      </c>
      <c r="E12" s="9">
        <v>3</v>
      </c>
      <c r="F12" s="9">
        <f t="shared" si="0"/>
        <v>0.15999999999999925</v>
      </c>
      <c r="G12" s="13">
        <f t="shared" si="1"/>
        <v>21.29</v>
      </c>
      <c r="H12" s="1"/>
      <c r="I12" s="1"/>
    </row>
    <row r="13" spans="1:9" x14ac:dyDescent="0.2">
      <c r="A13" s="1"/>
      <c r="B13" s="12">
        <v>46059</v>
      </c>
      <c r="C13" s="9">
        <v>1</v>
      </c>
      <c r="D13" s="9">
        <v>2</v>
      </c>
      <c r="E13" s="9">
        <v>3</v>
      </c>
      <c r="F13" s="9">
        <f t="shared" si="0"/>
        <v>2.9599999999999995</v>
      </c>
      <c r="G13" s="13">
        <f>G12+F13</f>
        <v>24.25</v>
      </c>
      <c r="H13" s="1"/>
      <c r="I13" s="1"/>
    </row>
    <row r="14" spans="1:9" x14ac:dyDescent="0.2">
      <c r="A14" s="1"/>
      <c r="B14" s="12">
        <v>46062</v>
      </c>
      <c r="C14" s="9">
        <v>2</v>
      </c>
      <c r="D14" s="9">
        <v>3</v>
      </c>
      <c r="E14" s="9">
        <v>2</v>
      </c>
      <c r="F14" s="9">
        <f t="shared" si="0"/>
        <v>-2.7100000000000009</v>
      </c>
      <c r="G14" s="13">
        <f t="shared" ref="G11:G74" si="2">G13+F14</f>
        <v>21.54</v>
      </c>
      <c r="H14" s="1"/>
      <c r="I14" s="1"/>
    </row>
    <row r="15" spans="1:9" x14ac:dyDescent="0.2">
      <c r="A15" s="1"/>
      <c r="B15" s="12">
        <v>46063</v>
      </c>
      <c r="C15" s="9">
        <v>2</v>
      </c>
      <c r="D15" s="9">
        <v>5</v>
      </c>
      <c r="E15" s="9">
        <v>1</v>
      </c>
      <c r="F15" s="9">
        <f t="shared" si="0"/>
        <v>-2.7300000000000004</v>
      </c>
      <c r="G15" s="13">
        <f>G14+F15</f>
        <v>18.809999999999999</v>
      </c>
      <c r="H15" s="1"/>
      <c r="I15" s="1"/>
    </row>
    <row r="16" spans="1:9" x14ac:dyDescent="0.2">
      <c r="A16" s="1"/>
      <c r="B16" s="12">
        <v>46064</v>
      </c>
      <c r="C16" s="9">
        <v>1</v>
      </c>
      <c r="D16" s="9">
        <v>2</v>
      </c>
      <c r="E16" s="9">
        <v>2</v>
      </c>
      <c r="F16" s="9">
        <f t="shared" si="0"/>
        <v>1.0399999999999996</v>
      </c>
      <c r="G16" s="13">
        <f t="shared" si="2"/>
        <v>19.849999999999998</v>
      </c>
      <c r="H16" s="1"/>
      <c r="I16" s="1"/>
    </row>
    <row r="17" spans="1:9" x14ac:dyDescent="0.2">
      <c r="A17" s="1"/>
      <c r="B17" s="12">
        <v>46065</v>
      </c>
      <c r="C17" s="9">
        <v>1</v>
      </c>
      <c r="D17" s="9">
        <v>1</v>
      </c>
      <c r="E17" s="9">
        <v>1</v>
      </c>
      <c r="F17" s="9">
        <f t="shared" si="0"/>
        <v>-1.83</v>
      </c>
      <c r="G17" s="13">
        <f t="shared" si="2"/>
        <v>18.019999999999996</v>
      </c>
      <c r="H17" s="1"/>
      <c r="I17" s="1"/>
    </row>
    <row r="18" spans="1:9" x14ac:dyDescent="0.2">
      <c r="A18" s="1"/>
      <c r="B18" s="12">
        <v>46066</v>
      </c>
      <c r="C18" s="9">
        <v>2</v>
      </c>
      <c r="D18" s="9">
        <v>1</v>
      </c>
      <c r="E18" s="9">
        <v>1</v>
      </c>
      <c r="F18" s="9">
        <f t="shared" si="0"/>
        <v>-6.5300000000000011</v>
      </c>
      <c r="G18" s="13">
        <f t="shared" si="2"/>
        <v>11.489999999999995</v>
      </c>
      <c r="H18" s="1"/>
      <c r="I18" s="1"/>
    </row>
    <row r="19" spans="1:9" x14ac:dyDescent="0.2">
      <c r="A19" s="1"/>
      <c r="B19" s="12">
        <v>46069</v>
      </c>
      <c r="C19" s="9"/>
      <c r="D19" s="9">
        <v>1</v>
      </c>
      <c r="E19" s="9">
        <v>2</v>
      </c>
      <c r="F19" s="9">
        <f t="shared" si="0"/>
        <v>4.79</v>
      </c>
      <c r="G19" s="13">
        <f t="shared" si="2"/>
        <v>16.279999999999994</v>
      </c>
      <c r="H19" s="1"/>
      <c r="I19" s="1"/>
    </row>
    <row r="20" spans="1:9" x14ac:dyDescent="0.2">
      <c r="A20" s="1"/>
      <c r="B20" s="12">
        <v>46070</v>
      </c>
      <c r="C20" s="9"/>
      <c r="D20" s="9">
        <v>5</v>
      </c>
      <c r="E20" s="9">
        <v>2</v>
      </c>
      <c r="F20" s="9">
        <f t="shared" si="0"/>
        <v>8.59</v>
      </c>
      <c r="G20" s="13">
        <f t="shared" si="2"/>
        <v>24.869999999999994</v>
      </c>
      <c r="H20" s="1"/>
      <c r="I20" s="1"/>
    </row>
    <row r="21" spans="1:9" x14ac:dyDescent="0.2">
      <c r="A21" s="1"/>
      <c r="B21" s="12">
        <v>46071</v>
      </c>
      <c r="C21" s="9"/>
      <c r="D21" s="9">
        <v>1</v>
      </c>
      <c r="E21" s="9">
        <v>2</v>
      </c>
      <c r="F21" s="9">
        <f t="shared" si="0"/>
        <v>4.79</v>
      </c>
      <c r="G21" s="13">
        <f t="shared" si="2"/>
        <v>29.659999999999993</v>
      </c>
      <c r="H21" s="1"/>
      <c r="I21" s="1"/>
    </row>
    <row r="22" spans="1:9" x14ac:dyDescent="0.2">
      <c r="A22" s="1"/>
      <c r="B22" s="12">
        <v>46072</v>
      </c>
      <c r="C22" s="9"/>
      <c r="D22" s="9">
        <v>3</v>
      </c>
      <c r="E22" s="9">
        <v>1</v>
      </c>
      <c r="F22" s="9">
        <f t="shared" si="0"/>
        <v>4.7699999999999996</v>
      </c>
      <c r="G22" s="13">
        <f t="shared" si="2"/>
        <v>34.429999999999993</v>
      </c>
      <c r="H22" s="1"/>
      <c r="I22" s="1"/>
    </row>
    <row r="23" spans="1:9" x14ac:dyDescent="0.2">
      <c r="A23" s="1"/>
      <c r="B23" s="12">
        <v>46073</v>
      </c>
      <c r="C23" s="9">
        <v>2</v>
      </c>
      <c r="D23" s="9">
        <v>3</v>
      </c>
      <c r="E23" s="9">
        <v>2</v>
      </c>
      <c r="F23" s="9">
        <f t="shared" si="0"/>
        <v>-2.7100000000000009</v>
      </c>
      <c r="G23" s="13">
        <f t="shared" si="2"/>
        <v>31.719999999999992</v>
      </c>
      <c r="H23" s="1"/>
      <c r="I23" s="1"/>
    </row>
    <row r="24" spans="1:9" x14ac:dyDescent="0.2">
      <c r="A24" s="1"/>
      <c r="B24" s="12">
        <v>46076</v>
      </c>
      <c r="C24" s="9">
        <v>1</v>
      </c>
      <c r="D24" s="9">
        <v>2</v>
      </c>
      <c r="E24" s="9"/>
      <c r="F24" s="9">
        <f t="shared" si="0"/>
        <v>-2.8000000000000003</v>
      </c>
      <c r="G24" s="13">
        <f t="shared" si="2"/>
        <v>28.919999999999991</v>
      </c>
      <c r="H24" s="1"/>
      <c r="I24" s="1"/>
    </row>
    <row r="25" spans="1:9" x14ac:dyDescent="0.2">
      <c r="A25" s="1"/>
      <c r="B25" s="12">
        <v>46077</v>
      </c>
      <c r="C25" s="9"/>
      <c r="D25" s="9">
        <v>3</v>
      </c>
      <c r="E25" s="9">
        <v>3</v>
      </c>
      <c r="F25" s="9">
        <f t="shared" si="0"/>
        <v>8.61</v>
      </c>
      <c r="G25" s="13">
        <f t="shared" si="2"/>
        <v>37.529999999999987</v>
      </c>
      <c r="H25" s="1"/>
      <c r="I25" s="1"/>
    </row>
    <row r="26" spans="1:9" x14ac:dyDescent="0.2">
      <c r="A26" s="1"/>
      <c r="B26" s="12">
        <v>46078</v>
      </c>
      <c r="C26" s="9"/>
      <c r="D26" s="9">
        <v>2</v>
      </c>
      <c r="E26" s="9">
        <v>3</v>
      </c>
      <c r="F26" s="9">
        <f t="shared" si="0"/>
        <v>7.66</v>
      </c>
      <c r="G26" s="13">
        <f t="shared" si="2"/>
        <v>45.189999999999984</v>
      </c>
      <c r="H26" s="1"/>
      <c r="I26" s="1"/>
    </row>
    <row r="27" spans="1:9" x14ac:dyDescent="0.2">
      <c r="A27" s="1"/>
      <c r="B27" s="12">
        <v>46079</v>
      </c>
      <c r="C27" s="9">
        <v>1</v>
      </c>
      <c r="D27" s="9">
        <v>3</v>
      </c>
      <c r="E27" s="9"/>
      <c r="F27" s="9">
        <f t="shared" si="0"/>
        <v>-1.8500000000000005</v>
      </c>
      <c r="G27" s="13">
        <f t="shared" si="2"/>
        <v>43.339999999999982</v>
      </c>
      <c r="H27" s="1"/>
      <c r="I27" s="1"/>
    </row>
    <row r="28" spans="1:9" x14ac:dyDescent="0.2">
      <c r="A28" s="1"/>
      <c r="B28" s="12">
        <v>46080</v>
      </c>
      <c r="C28" s="9"/>
      <c r="D28" s="9">
        <v>1</v>
      </c>
      <c r="E28" s="9">
        <v>3</v>
      </c>
      <c r="F28" s="9">
        <f t="shared" si="0"/>
        <v>6.71</v>
      </c>
      <c r="G28" s="13">
        <f t="shared" si="2"/>
        <v>50.049999999999983</v>
      </c>
      <c r="H28" s="14">
        <f>G28*$G$1</f>
        <v>0</v>
      </c>
      <c r="I28" s="13">
        <f>G28</f>
        <v>50.049999999999983</v>
      </c>
    </row>
    <row r="29" spans="1:9" x14ac:dyDescent="0.2">
      <c r="A29" s="1"/>
      <c r="B29" s="12">
        <v>46083</v>
      </c>
      <c r="C29" s="9">
        <v>2</v>
      </c>
      <c r="D29" s="9">
        <v>3</v>
      </c>
      <c r="E29" s="9">
        <v>1</v>
      </c>
      <c r="F29" s="9">
        <f t="shared" si="0"/>
        <v>-4.6300000000000008</v>
      </c>
      <c r="G29" s="13">
        <f t="shared" si="2"/>
        <v>45.41999999999998</v>
      </c>
      <c r="H29" s="1"/>
      <c r="I29" s="1"/>
    </row>
    <row r="30" spans="1:9" x14ac:dyDescent="0.2">
      <c r="A30" s="1"/>
      <c r="B30" s="12">
        <v>46084</v>
      </c>
      <c r="C30" s="9"/>
      <c r="D30" s="9">
        <v>2</v>
      </c>
      <c r="E30" s="9">
        <v>1</v>
      </c>
      <c r="F30" s="9">
        <f t="shared" si="0"/>
        <v>3.82</v>
      </c>
      <c r="G30" s="13">
        <f t="shared" si="2"/>
        <v>49.239999999999981</v>
      </c>
      <c r="H30" s="1"/>
      <c r="I30" s="1"/>
    </row>
    <row r="31" spans="1:9" x14ac:dyDescent="0.2">
      <c r="A31" s="1"/>
      <c r="B31" s="12">
        <v>46085</v>
      </c>
      <c r="C31" s="9">
        <v>1</v>
      </c>
      <c r="D31" s="9">
        <v>4</v>
      </c>
      <c r="E31" s="9">
        <v>1</v>
      </c>
      <c r="F31" s="9">
        <f t="shared" si="0"/>
        <v>1.0199999999999996</v>
      </c>
      <c r="G31" s="13">
        <f t="shared" si="2"/>
        <v>50.259999999999977</v>
      </c>
      <c r="H31" s="1"/>
      <c r="I31" s="1"/>
    </row>
    <row r="32" spans="1:9" x14ac:dyDescent="0.2">
      <c r="A32" s="1"/>
      <c r="B32" s="12">
        <v>46086</v>
      </c>
      <c r="C32" s="9"/>
      <c r="D32" s="9">
        <v>1</v>
      </c>
      <c r="E32" s="9">
        <v>2</v>
      </c>
      <c r="F32" s="9">
        <f t="shared" si="0"/>
        <v>4.79</v>
      </c>
      <c r="G32" s="13">
        <f t="shared" si="2"/>
        <v>55.049999999999976</v>
      </c>
      <c r="H32" s="1"/>
      <c r="I32" s="1"/>
    </row>
    <row r="33" spans="1:9" x14ac:dyDescent="0.2">
      <c r="A33" s="1"/>
      <c r="B33" s="12">
        <v>46087</v>
      </c>
      <c r="C33" s="9">
        <v>1</v>
      </c>
      <c r="D33" s="9">
        <v>5</v>
      </c>
      <c r="E33" s="9">
        <v>5</v>
      </c>
      <c r="F33" s="9">
        <f t="shared" si="0"/>
        <v>9.6499999999999986</v>
      </c>
      <c r="G33" s="13">
        <f t="shared" si="2"/>
        <v>64.699999999999974</v>
      </c>
      <c r="H33" s="1"/>
      <c r="I33" s="1"/>
    </row>
    <row r="34" spans="1:9" x14ac:dyDescent="0.2">
      <c r="A34" s="1"/>
      <c r="B34" s="15">
        <v>46090</v>
      </c>
      <c r="C34" s="9"/>
      <c r="D34" s="9">
        <v>7</v>
      </c>
      <c r="E34" s="9">
        <v>2</v>
      </c>
      <c r="F34" s="9">
        <f t="shared" si="0"/>
        <v>10.489999999999998</v>
      </c>
      <c r="G34" s="13">
        <f t="shared" si="2"/>
        <v>75.189999999999969</v>
      </c>
      <c r="H34" s="1"/>
      <c r="I34" s="1"/>
    </row>
    <row r="35" spans="1:9" x14ac:dyDescent="0.2">
      <c r="A35" s="1"/>
      <c r="B35" s="15">
        <v>46091</v>
      </c>
      <c r="C35" s="9">
        <v>1</v>
      </c>
      <c r="D35" s="9">
        <v>5</v>
      </c>
      <c r="E35" s="9">
        <v>3</v>
      </c>
      <c r="F35" s="9">
        <f t="shared" si="0"/>
        <v>5.81</v>
      </c>
      <c r="G35" s="13">
        <f t="shared" si="2"/>
        <v>80.999999999999972</v>
      </c>
      <c r="H35" s="1"/>
      <c r="I35" s="1"/>
    </row>
    <row r="36" spans="1:9" x14ac:dyDescent="0.2">
      <c r="A36" s="1"/>
      <c r="B36" s="15">
        <v>46092</v>
      </c>
      <c r="C36" s="9">
        <v>1</v>
      </c>
      <c r="D36" s="9">
        <v>3</v>
      </c>
      <c r="E36" s="9">
        <v>1</v>
      </c>
      <c r="F36" s="9">
        <f t="shared" si="0"/>
        <v>6.9999999999999396E-2</v>
      </c>
      <c r="G36" s="13">
        <f t="shared" si="2"/>
        <v>81.069999999999965</v>
      </c>
      <c r="H36" s="1"/>
      <c r="I36" s="1"/>
    </row>
    <row r="37" spans="1:9" x14ac:dyDescent="0.2">
      <c r="A37" s="1"/>
      <c r="B37" s="15">
        <v>46093</v>
      </c>
      <c r="C37" s="9"/>
      <c r="D37" s="9">
        <v>2</v>
      </c>
      <c r="E37" s="9">
        <v>2</v>
      </c>
      <c r="F37" s="9">
        <f t="shared" si="0"/>
        <v>5.74</v>
      </c>
      <c r="G37" s="13">
        <f t="shared" si="2"/>
        <v>86.80999999999996</v>
      </c>
      <c r="H37" s="1"/>
      <c r="I37" s="1"/>
    </row>
    <row r="38" spans="1:9" x14ac:dyDescent="0.2">
      <c r="A38" s="1"/>
      <c r="B38" s="15">
        <v>46094</v>
      </c>
      <c r="C38" s="9"/>
      <c r="D38" s="9">
        <v>1</v>
      </c>
      <c r="E38" s="9">
        <v>3</v>
      </c>
      <c r="F38" s="9">
        <f t="shared" si="0"/>
        <v>6.71</v>
      </c>
      <c r="G38" s="13">
        <f t="shared" si="2"/>
        <v>93.519999999999953</v>
      </c>
      <c r="H38" s="1"/>
      <c r="I38" s="1"/>
    </row>
    <row r="39" spans="1:9" x14ac:dyDescent="0.2">
      <c r="A39" s="1"/>
      <c r="B39" s="15">
        <v>46097</v>
      </c>
      <c r="C39" s="9"/>
      <c r="D39" s="9">
        <v>3</v>
      </c>
      <c r="E39" s="9">
        <v>1</v>
      </c>
      <c r="F39" s="9">
        <f t="shared" si="0"/>
        <v>4.7699999999999996</v>
      </c>
      <c r="G39" s="13">
        <f t="shared" si="2"/>
        <v>98.289999999999949</v>
      </c>
      <c r="H39" s="1"/>
      <c r="I39" s="1"/>
    </row>
    <row r="40" spans="1:9" x14ac:dyDescent="0.2">
      <c r="A40" s="1"/>
      <c r="B40" s="15">
        <v>46098</v>
      </c>
      <c r="C40" s="9">
        <v>1</v>
      </c>
      <c r="D40" s="9">
        <v>2</v>
      </c>
      <c r="E40" s="9">
        <v>1</v>
      </c>
      <c r="F40" s="9">
        <f t="shared" si="0"/>
        <v>-0.88000000000000034</v>
      </c>
      <c r="G40" s="13">
        <f t="shared" si="2"/>
        <v>97.409999999999954</v>
      </c>
      <c r="H40" s="1"/>
      <c r="I40" s="1"/>
    </row>
    <row r="41" spans="1:9" x14ac:dyDescent="0.2">
      <c r="A41" s="1"/>
      <c r="B41" s="15">
        <v>46099</v>
      </c>
      <c r="C41" s="9"/>
      <c r="D41" s="9">
        <v>1</v>
      </c>
      <c r="E41" s="9">
        <v>1</v>
      </c>
      <c r="F41" s="9">
        <f t="shared" si="0"/>
        <v>2.87</v>
      </c>
      <c r="G41" s="13">
        <f t="shared" si="2"/>
        <v>100.27999999999996</v>
      </c>
      <c r="H41" s="1"/>
      <c r="I41" s="1"/>
    </row>
    <row r="42" spans="1:9" x14ac:dyDescent="0.2">
      <c r="A42" s="1"/>
      <c r="B42" s="15">
        <v>46100</v>
      </c>
      <c r="C42" s="9">
        <v>2</v>
      </c>
      <c r="D42" s="9"/>
      <c r="E42" s="9">
        <v>3</v>
      </c>
      <c r="F42" s="9">
        <f t="shared" si="0"/>
        <v>-3.6400000000000006</v>
      </c>
      <c r="G42" s="13">
        <f t="shared" si="2"/>
        <v>96.639999999999958</v>
      </c>
      <c r="H42" s="1"/>
      <c r="I42" s="1"/>
    </row>
    <row r="43" spans="1:9" x14ac:dyDescent="0.2">
      <c r="A43" s="1"/>
      <c r="B43" s="15">
        <v>46101</v>
      </c>
      <c r="C43" s="9"/>
      <c r="D43" s="9">
        <v>4</v>
      </c>
      <c r="E43" s="9"/>
      <c r="F43" s="9">
        <f t="shared" si="0"/>
        <v>3.8</v>
      </c>
      <c r="G43" s="13">
        <f t="shared" si="2"/>
        <v>100.43999999999996</v>
      </c>
      <c r="H43" s="1"/>
      <c r="I43" s="1"/>
    </row>
    <row r="44" spans="1:9" x14ac:dyDescent="0.2">
      <c r="A44" s="1"/>
      <c r="B44" s="15">
        <v>46104</v>
      </c>
      <c r="C44" s="9">
        <v>1</v>
      </c>
      <c r="D44" s="9">
        <v>3</v>
      </c>
      <c r="E44" s="9">
        <v>1</v>
      </c>
      <c r="F44" s="9">
        <f t="shared" si="0"/>
        <v>6.9999999999999396E-2</v>
      </c>
      <c r="G44" s="13">
        <f t="shared" si="2"/>
        <v>100.50999999999995</v>
      </c>
      <c r="H44" s="1"/>
      <c r="I44" s="1"/>
    </row>
    <row r="45" spans="1:9" x14ac:dyDescent="0.2">
      <c r="A45" s="1"/>
      <c r="B45" s="15">
        <v>46105</v>
      </c>
      <c r="C45" s="9">
        <v>1</v>
      </c>
      <c r="D45" s="9">
        <v>2</v>
      </c>
      <c r="E45" s="9">
        <v>2</v>
      </c>
      <c r="F45" s="9">
        <f t="shared" si="0"/>
        <v>1.0399999999999996</v>
      </c>
      <c r="G45" s="13">
        <f t="shared" si="2"/>
        <v>101.54999999999995</v>
      </c>
      <c r="H45" s="1"/>
      <c r="I45" s="1"/>
    </row>
    <row r="46" spans="1:9" x14ac:dyDescent="0.2">
      <c r="A46" s="1"/>
      <c r="B46" s="15">
        <v>46106</v>
      </c>
      <c r="C46" s="9"/>
      <c r="D46" s="9">
        <v>2</v>
      </c>
      <c r="E46" s="9">
        <v>3</v>
      </c>
      <c r="F46" s="9">
        <f t="shared" si="0"/>
        <v>7.66</v>
      </c>
      <c r="G46" s="13">
        <f t="shared" si="2"/>
        <v>109.20999999999995</v>
      </c>
      <c r="H46" s="1"/>
      <c r="I46" s="1"/>
    </row>
    <row r="47" spans="1:9" x14ac:dyDescent="0.2">
      <c r="A47" s="1"/>
      <c r="B47" s="15">
        <v>46107</v>
      </c>
      <c r="C47" s="9">
        <v>2</v>
      </c>
      <c r="D47" s="9">
        <v>3</v>
      </c>
      <c r="E47" s="9">
        <v>2</v>
      </c>
      <c r="F47" s="9">
        <f t="shared" si="0"/>
        <v>-2.7100000000000009</v>
      </c>
      <c r="G47" s="13">
        <f t="shared" si="2"/>
        <v>106.49999999999994</v>
      </c>
      <c r="H47" s="1"/>
      <c r="I47" s="1"/>
    </row>
    <row r="48" spans="1:9" x14ac:dyDescent="0.2">
      <c r="A48" s="1"/>
      <c r="B48" s="15">
        <v>46108</v>
      </c>
      <c r="C48" s="9">
        <v>2</v>
      </c>
      <c r="D48" s="9">
        <v>3</v>
      </c>
      <c r="E48" s="9">
        <v>3</v>
      </c>
      <c r="F48" s="9">
        <f t="shared" si="0"/>
        <v>-0.79000000000000092</v>
      </c>
      <c r="G48" s="13">
        <f t="shared" si="2"/>
        <v>105.70999999999994</v>
      </c>
      <c r="H48" s="1"/>
      <c r="I48" s="1"/>
    </row>
    <row r="49" spans="1:9" x14ac:dyDescent="0.2">
      <c r="A49" s="1"/>
      <c r="B49" s="15">
        <v>46111</v>
      </c>
      <c r="C49" s="9">
        <v>1</v>
      </c>
      <c r="D49" s="9">
        <v>1</v>
      </c>
      <c r="E49" s="9">
        <v>2</v>
      </c>
      <c r="F49" s="9">
        <f t="shared" si="0"/>
        <v>8.9999999999999858E-2</v>
      </c>
      <c r="G49" s="13">
        <f t="shared" si="2"/>
        <v>105.79999999999994</v>
      </c>
      <c r="H49" s="1"/>
      <c r="I49" s="1"/>
    </row>
    <row r="50" spans="1:9" x14ac:dyDescent="0.2">
      <c r="A50" s="1"/>
      <c r="B50" s="15">
        <v>46112</v>
      </c>
      <c r="C50" s="9"/>
      <c r="D50" s="9">
        <v>1</v>
      </c>
      <c r="E50" s="9"/>
      <c r="F50" s="9">
        <f t="shared" si="0"/>
        <v>0.95</v>
      </c>
      <c r="G50" s="13">
        <f t="shared" si="2"/>
        <v>106.74999999999994</v>
      </c>
      <c r="H50" s="14">
        <f>G50*$G$1</f>
        <v>0</v>
      </c>
      <c r="I50" s="13">
        <f>G50-G28</f>
        <v>56.69999999999996</v>
      </c>
    </row>
    <row r="51" spans="1:9" x14ac:dyDescent="0.2">
      <c r="A51" s="1"/>
      <c r="B51" s="15">
        <v>46113</v>
      </c>
      <c r="C51" s="9">
        <v>2</v>
      </c>
      <c r="D51" s="9">
        <v>5</v>
      </c>
      <c r="E51" s="9"/>
      <c r="F51" s="9">
        <f t="shared" si="0"/>
        <v>-4.6500000000000004</v>
      </c>
      <c r="G51" s="13">
        <f t="shared" si="2"/>
        <v>102.09999999999994</v>
      </c>
      <c r="H51" s="1"/>
      <c r="I51" s="1"/>
    </row>
    <row r="52" spans="1:9" x14ac:dyDescent="0.2">
      <c r="A52" s="1"/>
      <c r="B52" s="15">
        <v>46114</v>
      </c>
      <c r="C52" s="9">
        <v>1</v>
      </c>
      <c r="D52" s="9">
        <v>2</v>
      </c>
      <c r="E52" s="9">
        <v>2</v>
      </c>
      <c r="F52" s="9">
        <f t="shared" si="0"/>
        <v>1.0399999999999996</v>
      </c>
      <c r="G52" s="13">
        <f t="shared" si="2"/>
        <v>103.13999999999994</v>
      </c>
      <c r="H52" s="1"/>
      <c r="I52" s="1"/>
    </row>
    <row r="53" spans="1:9" x14ac:dyDescent="0.2">
      <c r="A53" s="1"/>
      <c r="B53" s="15">
        <v>46118</v>
      </c>
      <c r="C53" s="9">
        <v>2</v>
      </c>
      <c r="D53" s="9">
        <v>3</v>
      </c>
      <c r="E53" s="9">
        <v>1</v>
      </c>
      <c r="F53" s="9">
        <f t="shared" si="0"/>
        <v>-4.6300000000000008</v>
      </c>
      <c r="G53" s="13">
        <f t="shared" si="2"/>
        <v>98.509999999999948</v>
      </c>
      <c r="H53" s="1"/>
      <c r="I53" s="1"/>
    </row>
    <row r="54" spans="1:9" x14ac:dyDescent="0.2">
      <c r="A54" s="1"/>
      <c r="B54" s="15">
        <v>46119</v>
      </c>
      <c r="C54" s="9"/>
      <c r="D54" s="9"/>
      <c r="E54" s="9">
        <v>3</v>
      </c>
      <c r="F54" s="9">
        <f t="shared" si="0"/>
        <v>5.76</v>
      </c>
      <c r="G54" s="13">
        <f t="shared" si="2"/>
        <v>104.26999999999995</v>
      </c>
      <c r="H54" s="1"/>
      <c r="I54" s="1"/>
    </row>
    <row r="55" spans="1:9" x14ac:dyDescent="0.2">
      <c r="A55" s="1"/>
      <c r="B55" s="15">
        <v>46120</v>
      </c>
      <c r="C55" s="9"/>
      <c r="D55" s="9"/>
      <c r="E55" s="9">
        <v>2</v>
      </c>
      <c r="F55" s="9">
        <f t="shared" si="0"/>
        <v>3.84</v>
      </c>
      <c r="G55" s="13">
        <f t="shared" si="2"/>
        <v>108.10999999999996</v>
      </c>
      <c r="H55" s="1"/>
      <c r="I55" s="1"/>
    </row>
    <row r="56" spans="1:9" x14ac:dyDescent="0.2">
      <c r="A56" s="1"/>
      <c r="B56" s="15">
        <v>46121</v>
      </c>
      <c r="C56" s="9">
        <v>2</v>
      </c>
      <c r="D56" s="9"/>
      <c r="E56" s="9">
        <v>2</v>
      </c>
      <c r="F56" s="9">
        <f t="shared" si="0"/>
        <v>-5.5600000000000005</v>
      </c>
      <c r="G56" s="13">
        <f t="shared" si="2"/>
        <v>102.54999999999995</v>
      </c>
      <c r="H56" s="1"/>
      <c r="I56" s="1"/>
    </row>
    <row r="57" spans="1:9" x14ac:dyDescent="0.2">
      <c r="A57" s="1"/>
      <c r="B57" s="15">
        <v>46122</v>
      </c>
      <c r="C57" s="9"/>
      <c r="D57" s="9">
        <v>1</v>
      </c>
      <c r="E57" s="9">
        <v>3</v>
      </c>
      <c r="F57" s="9">
        <f t="shared" si="0"/>
        <v>6.71</v>
      </c>
      <c r="G57" s="13">
        <f t="shared" si="2"/>
        <v>109.25999999999995</v>
      </c>
      <c r="H57" s="1"/>
      <c r="I57" s="1"/>
    </row>
    <row r="58" spans="1:9" x14ac:dyDescent="0.2">
      <c r="A58" s="1"/>
      <c r="B58" s="15">
        <v>46125</v>
      </c>
      <c r="C58" s="9">
        <v>1</v>
      </c>
      <c r="D58" s="9">
        <v>3</v>
      </c>
      <c r="E58" s="9">
        <v>3</v>
      </c>
      <c r="F58" s="9">
        <f t="shared" si="0"/>
        <v>3.9099999999999993</v>
      </c>
      <c r="G58" s="13">
        <f t="shared" si="2"/>
        <v>113.16999999999994</v>
      </c>
      <c r="H58" s="1"/>
      <c r="I58" s="1"/>
    </row>
    <row r="59" spans="1:9" x14ac:dyDescent="0.2">
      <c r="A59" s="1"/>
      <c r="B59" s="15">
        <v>46126</v>
      </c>
      <c r="C59" s="9">
        <v>2</v>
      </c>
      <c r="D59" s="9">
        <v>3</v>
      </c>
      <c r="E59" s="9">
        <v>2</v>
      </c>
      <c r="F59" s="9">
        <f t="shared" si="0"/>
        <v>-2.7100000000000009</v>
      </c>
      <c r="G59" s="13">
        <f t="shared" si="2"/>
        <v>110.45999999999995</v>
      </c>
      <c r="H59" s="1"/>
      <c r="I59" s="1"/>
    </row>
    <row r="60" spans="1:9" x14ac:dyDescent="0.2">
      <c r="A60" s="1"/>
      <c r="B60" s="15">
        <v>46127</v>
      </c>
      <c r="C60" s="9">
        <v>4</v>
      </c>
      <c r="D60" s="9">
        <v>3</v>
      </c>
      <c r="E60" s="9">
        <v>1</v>
      </c>
      <c r="F60" s="9">
        <f t="shared" si="0"/>
        <v>-14.030000000000001</v>
      </c>
      <c r="G60" s="13">
        <f t="shared" si="2"/>
        <v>96.42999999999995</v>
      </c>
      <c r="H60" s="16"/>
      <c r="I60" s="1"/>
    </row>
    <row r="61" spans="1:9" x14ac:dyDescent="0.2">
      <c r="A61" s="1"/>
      <c r="B61" s="15">
        <v>46128</v>
      </c>
      <c r="C61" s="9">
        <v>1</v>
      </c>
      <c r="D61" s="9"/>
      <c r="E61" s="9">
        <v>1</v>
      </c>
      <c r="F61" s="9">
        <f t="shared" si="0"/>
        <v>-2.7800000000000002</v>
      </c>
      <c r="G61" s="13">
        <f t="shared" si="2"/>
        <v>93.649999999999949</v>
      </c>
      <c r="H61" s="16"/>
      <c r="I61" s="1"/>
    </row>
    <row r="62" spans="1:9" x14ac:dyDescent="0.2">
      <c r="A62" s="1"/>
      <c r="B62" s="15">
        <v>46129</v>
      </c>
      <c r="C62" s="9">
        <v>1</v>
      </c>
      <c r="D62" s="9">
        <v>2</v>
      </c>
      <c r="E62" s="9">
        <v>2</v>
      </c>
      <c r="F62" s="9">
        <f t="shared" si="0"/>
        <v>1.0399999999999996</v>
      </c>
      <c r="G62" s="13">
        <f t="shared" si="2"/>
        <v>94.689999999999955</v>
      </c>
      <c r="H62" s="1"/>
      <c r="I62" s="1"/>
    </row>
    <row r="63" spans="1:9" x14ac:dyDescent="0.2">
      <c r="A63" s="1"/>
      <c r="B63" s="15">
        <v>46132</v>
      </c>
      <c r="C63" s="9"/>
      <c r="D63" s="9"/>
      <c r="E63" s="9">
        <v>1</v>
      </c>
      <c r="F63" s="9">
        <f t="shared" si="0"/>
        <v>1.92</v>
      </c>
      <c r="G63" s="13">
        <f t="shared" si="2"/>
        <v>96.609999999999957</v>
      </c>
      <c r="H63" s="1"/>
      <c r="I63" s="1"/>
    </row>
    <row r="64" spans="1:9" x14ac:dyDescent="0.2">
      <c r="A64" s="1"/>
      <c r="B64" s="15">
        <v>46133</v>
      </c>
      <c r="C64" s="9"/>
      <c r="D64" s="9">
        <v>1</v>
      </c>
      <c r="E64" s="9">
        <v>2</v>
      </c>
      <c r="F64" s="9">
        <f t="shared" si="0"/>
        <v>4.79</v>
      </c>
      <c r="G64" s="13">
        <f t="shared" si="2"/>
        <v>101.39999999999996</v>
      </c>
      <c r="H64" s="1"/>
      <c r="I64" s="1"/>
    </row>
    <row r="65" spans="1:9" x14ac:dyDescent="0.2">
      <c r="A65" s="1"/>
      <c r="B65" s="15">
        <v>46134</v>
      </c>
      <c r="C65" s="9"/>
      <c r="D65" s="9">
        <v>1</v>
      </c>
      <c r="E65" s="9">
        <v>1</v>
      </c>
      <c r="F65" s="9">
        <f t="shared" si="0"/>
        <v>2.87</v>
      </c>
      <c r="G65" s="13">
        <f t="shared" si="2"/>
        <v>104.26999999999997</v>
      </c>
      <c r="H65" s="1"/>
      <c r="I65" s="1"/>
    </row>
    <row r="66" spans="1:9" x14ac:dyDescent="0.2">
      <c r="A66" s="1"/>
      <c r="B66" s="15">
        <v>46135</v>
      </c>
      <c r="C66" s="9">
        <v>2</v>
      </c>
      <c r="D66" s="9">
        <v>2</v>
      </c>
      <c r="E66" s="9"/>
      <c r="F66" s="9">
        <f t="shared" si="0"/>
        <v>-7.5</v>
      </c>
      <c r="G66" s="13">
        <f t="shared" si="2"/>
        <v>96.769999999999968</v>
      </c>
      <c r="H66" s="1"/>
      <c r="I66" s="1"/>
    </row>
    <row r="67" spans="1:9" x14ac:dyDescent="0.2">
      <c r="A67" s="1"/>
      <c r="B67" s="15">
        <v>46136</v>
      </c>
      <c r="C67" s="9">
        <v>3</v>
      </c>
      <c r="D67" s="9">
        <v>1</v>
      </c>
      <c r="E67" s="9">
        <v>1</v>
      </c>
      <c r="F67" s="9">
        <f t="shared" si="0"/>
        <v>-11.230000000000002</v>
      </c>
      <c r="G67" s="13">
        <f t="shared" si="2"/>
        <v>85.539999999999964</v>
      </c>
      <c r="H67" s="1"/>
      <c r="I67" s="1"/>
    </row>
    <row r="68" spans="1:9" x14ac:dyDescent="0.2">
      <c r="A68" s="1"/>
      <c r="B68" s="15">
        <v>46139</v>
      </c>
      <c r="C68" s="9"/>
      <c r="D68" s="9"/>
      <c r="E68" s="9">
        <v>1</v>
      </c>
      <c r="F68" s="9">
        <f t="shared" si="0"/>
        <v>1.92</v>
      </c>
      <c r="G68" s="13">
        <f t="shared" si="2"/>
        <v>87.459999999999965</v>
      </c>
      <c r="H68" s="1"/>
      <c r="I68" s="1"/>
    </row>
    <row r="69" spans="1:9" x14ac:dyDescent="0.2">
      <c r="A69" s="1"/>
      <c r="B69" s="15">
        <v>46140</v>
      </c>
      <c r="C69" s="9"/>
      <c r="D69" s="9">
        <v>1</v>
      </c>
      <c r="E69" s="9">
        <v>3</v>
      </c>
      <c r="F69" s="9">
        <f t="shared" si="0"/>
        <v>6.71</v>
      </c>
      <c r="G69" s="13">
        <f t="shared" si="2"/>
        <v>94.169999999999959</v>
      </c>
      <c r="H69" s="1"/>
      <c r="I69" s="1"/>
    </row>
    <row r="70" spans="1:9" x14ac:dyDescent="0.2">
      <c r="A70" s="1"/>
      <c r="B70" s="15">
        <v>46141</v>
      </c>
      <c r="C70" s="9">
        <v>1</v>
      </c>
      <c r="D70" s="9">
        <v>2</v>
      </c>
      <c r="E70" s="9">
        <v>1</v>
      </c>
      <c r="F70" s="9">
        <f t="shared" si="0"/>
        <v>-0.88000000000000034</v>
      </c>
      <c r="G70" s="13">
        <f t="shared" si="2"/>
        <v>93.289999999999964</v>
      </c>
      <c r="H70" s="1"/>
      <c r="I70" s="1"/>
    </row>
    <row r="71" spans="1:9" x14ac:dyDescent="0.2">
      <c r="A71" s="1"/>
      <c r="B71" s="15">
        <v>46142</v>
      </c>
      <c r="C71" s="9">
        <v>1</v>
      </c>
      <c r="D71" s="9">
        <v>2</v>
      </c>
      <c r="E71" s="9"/>
      <c r="F71" s="9">
        <f t="shared" si="0"/>
        <v>-2.8000000000000003</v>
      </c>
      <c r="G71" s="13">
        <f t="shared" si="2"/>
        <v>90.489999999999966</v>
      </c>
      <c r="H71" s="14">
        <f>G71*$G$1</f>
        <v>0</v>
      </c>
      <c r="I71" s="13">
        <f>G71-G49</f>
        <v>-15.309999999999974</v>
      </c>
    </row>
    <row r="72" spans="1:9" x14ac:dyDescent="0.2">
      <c r="A72" s="1"/>
      <c r="B72" s="15">
        <v>46143</v>
      </c>
      <c r="C72" s="9"/>
      <c r="D72" s="9">
        <v>2</v>
      </c>
      <c r="E72" s="9">
        <v>1</v>
      </c>
      <c r="F72" s="9">
        <f t="shared" si="0"/>
        <v>3.82</v>
      </c>
      <c r="G72" s="13">
        <f t="shared" si="2"/>
        <v>94.30999999999996</v>
      </c>
      <c r="H72" s="1"/>
      <c r="I72" s="1"/>
    </row>
    <row r="73" spans="1:9" x14ac:dyDescent="0.2">
      <c r="A73" s="1"/>
      <c r="B73" s="15">
        <v>46146</v>
      </c>
      <c r="C73" s="9"/>
      <c r="D73" s="9">
        <v>2</v>
      </c>
      <c r="E73" s="9">
        <v>1</v>
      </c>
      <c r="F73" s="9">
        <f t="shared" si="0"/>
        <v>3.82</v>
      </c>
      <c r="G73" s="13">
        <f t="shared" si="2"/>
        <v>98.129999999999953</v>
      </c>
      <c r="H73" s="1"/>
      <c r="I73" s="1"/>
    </row>
    <row r="74" spans="1:9" x14ac:dyDescent="0.2">
      <c r="A74" s="1"/>
      <c r="B74" s="15">
        <v>46147</v>
      </c>
      <c r="C74" s="9"/>
      <c r="D74" s="9">
        <v>4</v>
      </c>
      <c r="E74" s="9">
        <v>1</v>
      </c>
      <c r="F74" s="9">
        <f t="shared" ref="F74:F100" si="3">(C74*$C$7)+(D74*$D$7)+(E74*$E$7)</f>
        <v>5.72</v>
      </c>
      <c r="G74" s="13">
        <f t="shared" si="2"/>
        <v>103.84999999999995</v>
      </c>
      <c r="H74" s="1"/>
      <c r="I74" s="1"/>
    </row>
    <row r="75" spans="1:9" x14ac:dyDescent="0.2">
      <c r="A75" s="1"/>
      <c r="B75" s="15">
        <v>46148</v>
      </c>
      <c r="C75" s="9"/>
      <c r="D75" s="9"/>
      <c r="E75" s="9"/>
      <c r="F75" s="9">
        <f t="shared" si="3"/>
        <v>0</v>
      </c>
      <c r="G75" s="13">
        <f t="shared" ref="G75:G100" si="4">G74+F75</f>
        <v>103.84999999999995</v>
      </c>
      <c r="H75" s="1"/>
      <c r="I75" s="1"/>
    </row>
    <row r="76" spans="1:9" x14ac:dyDescent="0.2">
      <c r="A76" s="1"/>
      <c r="B76" s="15">
        <v>46149</v>
      </c>
      <c r="C76" s="9"/>
      <c r="D76" s="9">
        <v>1</v>
      </c>
      <c r="E76" s="9">
        <v>3</v>
      </c>
      <c r="F76" s="9">
        <f t="shared" si="3"/>
        <v>6.71</v>
      </c>
      <c r="G76" s="13">
        <f t="shared" si="4"/>
        <v>110.55999999999995</v>
      </c>
      <c r="H76" s="1"/>
      <c r="I76" s="1"/>
    </row>
    <row r="77" spans="1:9" x14ac:dyDescent="0.2">
      <c r="A77" s="1"/>
      <c r="B77" s="15">
        <v>46150</v>
      </c>
      <c r="C77" s="9"/>
      <c r="D77" s="9">
        <v>6</v>
      </c>
      <c r="E77" s="9">
        <v>1</v>
      </c>
      <c r="F77" s="9">
        <f t="shared" si="3"/>
        <v>7.6199999999999992</v>
      </c>
      <c r="G77" s="13">
        <f t="shared" si="4"/>
        <v>118.17999999999995</v>
      </c>
      <c r="H77" s="1"/>
      <c r="I77" s="1"/>
    </row>
    <row r="78" spans="1:9" x14ac:dyDescent="0.2">
      <c r="A78" s="1"/>
      <c r="B78" s="15">
        <v>46153</v>
      </c>
      <c r="C78" s="9">
        <v>2</v>
      </c>
      <c r="D78" s="9">
        <v>3</v>
      </c>
      <c r="E78" s="9"/>
      <c r="F78" s="9">
        <f t="shared" si="3"/>
        <v>-6.5500000000000007</v>
      </c>
      <c r="G78" s="13">
        <f t="shared" si="4"/>
        <v>111.62999999999995</v>
      </c>
      <c r="H78" s="1"/>
      <c r="I78" s="1"/>
    </row>
    <row r="79" spans="1:9" x14ac:dyDescent="0.2">
      <c r="A79" s="1"/>
      <c r="B79" s="15">
        <v>46154</v>
      </c>
      <c r="C79" s="9">
        <v>1</v>
      </c>
      <c r="D79" s="9">
        <v>4</v>
      </c>
      <c r="E79" s="9">
        <v>1</v>
      </c>
      <c r="F79" s="9">
        <f t="shared" si="3"/>
        <v>1.0199999999999996</v>
      </c>
      <c r="G79" s="13">
        <f t="shared" si="4"/>
        <v>112.64999999999995</v>
      </c>
      <c r="H79" s="1"/>
      <c r="I79" s="1"/>
    </row>
    <row r="80" spans="1:9" x14ac:dyDescent="0.2">
      <c r="A80" s="1"/>
      <c r="B80" s="15">
        <v>46155</v>
      </c>
      <c r="C80" s="9"/>
      <c r="D80" s="9"/>
      <c r="E80" s="9">
        <v>1</v>
      </c>
      <c r="F80" s="9">
        <f t="shared" si="3"/>
        <v>1.92</v>
      </c>
      <c r="G80" s="13">
        <f t="shared" si="4"/>
        <v>114.56999999999995</v>
      </c>
      <c r="H80" s="1"/>
      <c r="I80" s="1"/>
    </row>
    <row r="81" spans="1:9" x14ac:dyDescent="0.2">
      <c r="A81" s="1"/>
      <c r="B81" s="15">
        <v>46156</v>
      </c>
      <c r="C81" s="9">
        <v>1</v>
      </c>
      <c r="D81" s="9">
        <v>1</v>
      </c>
      <c r="E81" s="9">
        <v>1</v>
      </c>
      <c r="F81" s="9">
        <f t="shared" si="3"/>
        <v>-1.83</v>
      </c>
      <c r="G81" s="13">
        <f t="shared" si="4"/>
        <v>112.73999999999995</v>
      </c>
      <c r="H81" s="1"/>
      <c r="I81" s="1"/>
    </row>
    <row r="82" spans="1:9" x14ac:dyDescent="0.2">
      <c r="A82" s="1"/>
      <c r="B82" s="15">
        <v>46157</v>
      </c>
      <c r="C82" s="9"/>
      <c r="D82" s="9">
        <v>3</v>
      </c>
      <c r="E82" s="9">
        <v>4</v>
      </c>
      <c r="F82" s="9">
        <f t="shared" si="3"/>
        <v>10.53</v>
      </c>
      <c r="G82" s="13">
        <f t="shared" si="4"/>
        <v>123.26999999999995</v>
      </c>
      <c r="H82" s="1"/>
      <c r="I82" s="1"/>
    </row>
    <row r="83" spans="1:9" x14ac:dyDescent="0.2">
      <c r="A83" s="1"/>
      <c r="B83" s="15">
        <v>46160</v>
      </c>
      <c r="C83" s="9"/>
      <c r="D83" s="9">
        <v>5</v>
      </c>
      <c r="E83" s="9"/>
      <c r="F83" s="9">
        <f t="shared" si="3"/>
        <v>4.75</v>
      </c>
      <c r="G83" s="13">
        <f t="shared" si="4"/>
        <v>128.01999999999995</v>
      </c>
      <c r="H83" s="1"/>
      <c r="I83" s="1"/>
    </row>
    <row r="84" spans="1:9" x14ac:dyDescent="0.2">
      <c r="A84" s="1"/>
      <c r="B84" s="15">
        <v>46161</v>
      </c>
      <c r="C84" s="9">
        <v>2</v>
      </c>
      <c r="D84" s="9">
        <v>2</v>
      </c>
      <c r="E84" s="9">
        <v>1</v>
      </c>
      <c r="F84" s="9">
        <f t="shared" si="3"/>
        <v>-5.58</v>
      </c>
      <c r="G84" s="13">
        <f t="shared" si="4"/>
        <v>122.43999999999996</v>
      </c>
      <c r="H84" s="1"/>
      <c r="I84" s="1"/>
    </row>
    <row r="85" spans="1:9" x14ac:dyDescent="0.2">
      <c r="A85" s="1"/>
      <c r="B85" s="15">
        <v>46162</v>
      </c>
      <c r="C85" s="9"/>
      <c r="D85" s="9">
        <v>3</v>
      </c>
      <c r="E85" s="9">
        <v>4</v>
      </c>
      <c r="F85" s="9">
        <f t="shared" si="3"/>
        <v>10.53</v>
      </c>
      <c r="G85" s="13">
        <f t="shared" si="4"/>
        <v>132.96999999999994</v>
      </c>
      <c r="H85" s="1"/>
      <c r="I85" s="1"/>
    </row>
    <row r="86" spans="1:9" x14ac:dyDescent="0.2">
      <c r="A86" s="1"/>
      <c r="B86" s="15">
        <v>46163</v>
      </c>
      <c r="C86" s="9"/>
      <c r="D86" s="9">
        <v>3</v>
      </c>
      <c r="E86" s="9">
        <v>3</v>
      </c>
      <c r="F86" s="9">
        <f t="shared" si="3"/>
        <v>8.61</v>
      </c>
      <c r="G86" s="13">
        <f t="shared" si="4"/>
        <v>141.57999999999993</v>
      </c>
      <c r="H86" s="1"/>
      <c r="I86" s="1"/>
    </row>
    <row r="87" spans="1:9" x14ac:dyDescent="0.2">
      <c r="A87" s="1"/>
      <c r="B87" s="15">
        <v>46164</v>
      </c>
      <c r="C87" s="9"/>
      <c r="D87" s="9">
        <v>1</v>
      </c>
      <c r="E87" s="9">
        <v>1</v>
      </c>
      <c r="F87" s="9">
        <f t="shared" si="3"/>
        <v>2.87</v>
      </c>
      <c r="G87" s="13">
        <f t="shared" si="4"/>
        <v>144.44999999999993</v>
      </c>
      <c r="H87" s="1"/>
      <c r="I87" s="1"/>
    </row>
    <row r="88" spans="1:9" x14ac:dyDescent="0.2">
      <c r="A88" s="1"/>
      <c r="B88" s="15">
        <v>46167</v>
      </c>
      <c r="C88" s="9"/>
      <c r="D88" s="9">
        <v>2</v>
      </c>
      <c r="E88" s="9">
        <v>1</v>
      </c>
      <c r="F88" s="9">
        <f t="shared" si="3"/>
        <v>3.82</v>
      </c>
      <c r="G88" s="13">
        <f t="shared" si="4"/>
        <v>148.26999999999992</v>
      </c>
      <c r="H88" s="1"/>
      <c r="I88" s="1"/>
    </row>
    <row r="89" spans="1:9" x14ac:dyDescent="0.2">
      <c r="A89" s="1"/>
      <c r="B89" s="15">
        <v>46168</v>
      </c>
      <c r="C89" s="9">
        <v>1</v>
      </c>
      <c r="D89" s="9">
        <v>3</v>
      </c>
      <c r="E89" s="9">
        <v>1</v>
      </c>
      <c r="F89" s="9">
        <f t="shared" si="3"/>
        <v>6.9999999999999396E-2</v>
      </c>
      <c r="G89" s="13">
        <f t="shared" si="4"/>
        <v>148.33999999999992</v>
      </c>
      <c r="H89" s="1"/>
      <c r="I89" s="1"/>
    </row>
    <row r="90" spans="1:9" x14ac:dyDescent="0.2">
      <c r="A90" s="1"/>
      <c r="B90" s="15">
        <v>46169</v>
      </c>
      <c r="C90" s="9">
        <v>2</v>
      </c>
      <c r="D90" s="9">
        <v>2</v>
      </c>
      <c r="E90" s="9">
        <v>2</v>
      </c>
      <c r="F90" s="9">
        <f t="shared" si="3"/>
        <v>-3.66</v>
      </c>
      <c r="G90" s="13">
        <f t="shared" si="4"/>
        <v>144.67999999999992</v>
      </c>
      <c r="H90" s="1"/>
      <c r="I90" s="1"/>
    </row>
    <row r="91" spans="1:9" x14ac:dyDescent="0.2">
      <c r="A91" s="1"/>
      <c r="B91" s="15">
        <v>46170</v>
      </c>
      <c r="C91" s="9">
        <v>1</v>
      </c>
      <c r="D91" s="9">
        <v>1</v>
      </c>
      <c r="E91" s="9">
        <v>1</v>
      </c>
      <c r="F91" s="9">
        <f t="shared" si="3"/>
        <v>-1.83</v>
      </c>
      <c r="G91" s="13">
        <f t="shared" si="4"/>
        <v>142.84999999999991</v>
      </c>
      <c r="H91" s="1"/>
      <c r="I91" s="1"/>
    </row>
    <row r="92" spans="1:9" x14ac:dyDescent="0.2">
      <c r="A92" s="1"/>
      <c r="B92" s="15">
        <v>46171</v>
      </c>
      <c r="C92" s="9"/>
      <c r="D92" s="9"/>
      <c r="E92" s="9"/>
      <c r="F92" s="9">
        <f t="shared" si="3"/>
        <v>0</v>
      </c>
      <c r="G92" s="13">
        <f t="shared" si="4"/>
        <v>142.84999999999991</v>
      </c>
      <c r="H92" s="14">
        <f>G92*$G$1</f>
        <v>0</v>
      </c>
      <c r="I92" s="13">
        <f>G92-G71</f>
        <v>52.359999999999943</v>
      </c>
    </row>
    <row r="93" spans="1:9" x14ac:dyDescent="0.2">
      <c r="A93" s="1"/>
      <c r="B93" s="15">
        <v>46174</v>
      </c>
      <c r="C93" s="9">
        <v>2</v>
      </c>
      <c r="D93" s="9">
        <v>1</v>
      </c>
      <c r="E93" s="9"/>
      <c r="F93" s="9">
        <f t="shared" si="3"/>
        <v>-8.4500000000000011</v>
      </c>
      <c r="G93" s="13">
        <f t="shared" si="4"/>
        <v>134.39999999999992</v>
      </c>
      <c r="H93" s="1"/>
      <c r="I93" s="1"/>
    </row>
    <row r="94" spans="1:9" x14ac:dyDescent="0.2">
      <c r="A94" s="1"/>
      <c r="B94" s="15">
        <v>46175</v>
      </c>
      <c r="C94" s="9">
        <v>3</v>
      </c>
      <c r="D94" s="9"/>
      <c r="E94" s="9">
        <v>1</v>
      </c>
      <c r="F94" s="9">
        <f t="shared" si="3"/>
        <v>-12.180000000000001</v>
      </c>
      <c r="G94" s="13">
        <f t="shared" si="4"/>
        <v>122.21999999999991</v>
      </c>
      <c r="H94" s="1"/>
      <c r="I94" s="1"/>
    </row>
    <row r="95" spans="1:9" x14ac:dyDescent="0.2">
      <c r="A95" s="1"/>
      <c r="B95" s="15">
        <v>46176</v>
      </c>
      <c r="C95" s="9">
        <v>1</v>
      </c>
      <c r="D95" s="9">
        <v>1</v>
      </c>
      <c r="E95" s="9">
        <v>1</v>
      </c>
      <c r="F95" s="9">
        <f t="shared" si="3"/>
        <v>-1.83</v>
      </c>
      <c r="G95" s="13">
        <f t="shared" si="4"/>
        <v>120.38999999999992</v>
      </c>
      <c r="H95" s="16"/>
      <c r="I95" s="1"/>
    </row>
    <row r="96" spans="1:9" x14ac:dyDescent="0.2">
      <c r="A96" s="1"/>
      <c r="B96" s="15">
        <v>46177</v>
      </c>
      <c r="C96" s="9">
        <v>1</v>
      </c>
      <c r="D96" s="9">
        <v>4</v>
      </c>
      <c r="E96" s="9">
        <v>2</v>
      </c>
      <c r="F96" s="9">
        <f t="shared" si="3"/>
        <v>2.9399999999999995</v>
      </c>
      <c r="G96" s="13">
        <f t="shared" si="4"/>
        <v>123.32999999999991</v>
      </c>
      <c r="H96" s="1"/>
      <c r="I96" s="1"/>
    </row>
    <row r="97" spans="1:9" x14ac:dyDescent="0.2">
      <c r="A97" s="1"/>
      <c r="B97" s="15">
        <v>46178</v>
      </c>
      <c r="C97" s="9"/>
      <c r="D97" s="9">
        <v>2</v>
      </c>
      <c r="E97" s="9">
        <v>1</v>
      </c>
      <c r="F97" s="9">
        <f t="shared" si="3"/>
        <v>3.82</v>
      </c>
      <c r="G97" s="13">
        <f t="shared" si="4"/>
        <v>127.14999999999991</v>
      </c>
      <c r="H97" s="1"/>
      <c r="I97" s="1"/>
    </row>
    <row r="98" spans="1:9" x14ac:dyDescent="0.2">
      <c r="A98" s="1"/>
      <c r="B98" s="15">
        <v>46181</v>
      </c>
      <c r="C98" s="9">
        <v>1</v>
      </c>
      <c r="D98" s="9">
        <v>1</v>
      </c>
      <c r="E98" s="9">
        <v>3</v>
      </c>
      <c r="F98" s="9">
        <f t="shared" si="3"/>
        <v>2.0099999999999998</v>
      </c>
      <c r="G98" s="13">
        <f t="shared" si="4"/>
        <v>129.15999999999991</v>
      </c>
      <c r="H98" s="1"/>
      <c r="I98" s="1"/>
    </row>
    <row r="99" spans="1:9" x14ac:dyDescent="0.2">
      <c r="A99" s="1"/>
      <c r="B99" s="15">
        <v>46182</v>
      </c>
      <c r="C99" s="9">
        <v>2</v>
      </c>
      <c r="D99" s="9">
        <v>1</v>
      </c>
      <c r="E99" s="9">
        <v>1</v>
      </c>
      <c r="F99" s="9">
        <f t="shared" si="3"/>
        <v>-6.5300000000000011</v>
      </c>
      <c r="G99" s="13">
        <f t="shared" si="4"/>
        <v>122.62999999999991</v>
      </c>
      <c r="H99" s="1"/>
      <c r="I99" s="1"/>
    </row>
    <row r="100" spans="1:9" x14ac:dyDescent="0.2">
      <c r="A100" s="1"/>
      <c r="B100" s="15">
        <v>46183</v>
      </c>
      <c r="C100" s="9"/>
      <c r="D100" s="9">
        <v>1</v>
      </c>
      <c r="E100" s="9"/>
      <c r="F100" s="9">
        <f t="shared" si="3"/>
        <v>0.95</v>
      </c>
      <c r="G100" s="13">
        <f t="shared" si="4"/>
        <v>123.57999999999991</v>
      </c>
      <c r="H100" s="1"/>
      <c r="I1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kosta kosta</dc:creator>
  <cp:lastModifiedBy>kosta kosta</cp:lastModifiedBy>
  <dcterms:created xsi:type="dcterms:W3CDTF">2026-06-10T13:21:50Z</dcterms:created>
  <dcterms:modified xsi:type="dcterms:W3CDTF">2026-06-10T13:23:37Z</dcterms:modified>
</cp:coreProperties>
</file>